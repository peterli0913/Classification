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120" firstSheet="2" activeTab="2"/>
  </bookViews>
  <sheets>
    <sheet name="设备投资概算评估 (集团内部-Sandwich)" sheetId="1" state="hidden" r:id="rId1"/>
    <sheet name="反馈认证费用" sheetId="2" state="hidden" r:id="rId2"/>
    <sheet name="周期时间 (集团内部-Sandwich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<sst xmlns="http://schemas.openxmlformats.org/spreadsheetml/2006/main" count="335" uniqueCount="203">
  <si>
    <t>连续生产设备清单
 Flow Production Equipment List</t>
  </si>
  <si>
    <t>投资明细
Investment details</t>
  </si>
  <si>
    <t>序号
No.</t>
  </si>
  <si>
    <t>类别
Classification</t>
  </si>
  <si>
    <t>设备
Equipment</t>
  </si>
  <si>
    <t>规格型号
Specifications &amp; Models</t>
  </si>
  <si>
    <t>数量
Number</t>
  </si>
  <si>
    <t>单位
Unit</t>
  </si>
  <si>
    <t>用途
Use</t>
  </si>
  <si>
    <t>备注
Notes</t>
  </si>
  <si>
    <t>设备单价
Unit price</t>
  </si>
  <si>
    <t>认证
Certification</t>
  </si>
  <si>
    <t>合计费用
Total cost</t>
  </si>
  <si>
    <t>说明</t>
  </si>
  <si>
    <t>连续主设备
Continuous reaction main equipment</t>
  </si>
  <si>
    <t>原料缓冲罐
Buffer Supply Tank</t>
  </si>
  <si>
    <r>
      <rPr>
        <sz val="10"/>
        <color rgb="FF000000"/>
        <rFont val="微软雅黑"/>
        <charset val="134"/>
      </rPr>
      <t>立式储罐，体积：</t>
    </r>
    <r>
      <rPr>
        <sz val="10"/>
        <color rgb="FF0070C0"/>
        <rFont val="微软雅黑"/>
        <charset val="134"/>
      </rPr>
      <t>220L</t>
    </r>
    <r>
      <rPr>
        <sz val="10"/>
        <color rgb="FF000000"/>
        <rFont val="微软雅黑"/>
        <charset val="134"/>
      </rPr>
      <t xml:space="preserve">，与物料接触材质：316L，工作压力：常压
Vertical storage tank, volume: </t>
    </r>
    <r>
      <rPr>
        <sz val="10"/>
        <color rgb="FF0070C0"/>
        <rFont val="微软雅黑"/>
        <charset val="134"/>
      </rPr>
      <t>220</t>
    </r>
    <r>
      <rPr>
        <sz val="10"/>
        <color rgb="FF000000"/>
        <rFont val="微软雅黑"/>
        <charset val="134"/>
      </rPr>
      <t>L, material in contact with material: 316L, working pressure: atmospheric pressure</t>
    </r>
  </si>
  <si>
    <t>台</t>
  </si>
  <si>
    <t>原料缓冲
Raw material buffering</t>
  </si>
  <si>
    <t>N/A</t>
  </si>
  <si>
    <t>供应商报价</t>
  </si>
  <si>
    <r>
      <rPr>
        <sz val="10"/>
        <color rgb="FF000000"/>
        <rFont val="微软雅黑"/>
        <charset val="134"/>
      </rPr>
      <t>立式储罐，体积：</t>
    </r>
    <r>
      <rPr>
        <sz val="10"/>
        <color rgb="FF0070C0"/>
        <rFont val="微软雅黑"/>
        <charset val="134"/>
      </rPr>
      <t>220L</t>
    </r>
    <r>
      <rPr>
        <sz val="10"/>
        <color rgb="FF000000"/>
        <rFont val="微软雅黑"/>
        <charset val="134"/>
      </rPr>
      <t xml:space="preserve">，与物料接触材质：316L，工作压力：常压
Vertical storage tank, volume: </t>
    </r>
    <r>
      <rPr>
        <sz val="10"/>
        <color rgb="FF0070C0"/>
        <rFont val="微软雅黑"/>
        <charset val="134"/>
      </rPr>
      <t>220L</t>
    </r>
    <r>
      <rPr>
        <sz val="10"/>
        <color rgb="FF000000"/>
        <rFont val="微软雅黑"/>
        <charset val="134"/>
      </rPr>
      <t>, material in contact with material: 316L, working pressure: atmospheric pressure</t>
    </r>
  </si>
  <si>
    <t>氢气缓冲罐
H2 Buffer Tank</t>
  </si>
  <si>
    <t>立式储罐，体积：10L，与物料接触材质：316L，工作压力：6MPa
Vertical storage tank, volume: 10L, material in contact with material: 316L, working pressure: 6MPa</t>
  </si>
  <si>
    <t>氢气缓冲
Hydrogen buffering</t>
  </si>
  <si>
    <t>反应柱01
Continuous Reactor
 Column 01</t>
  </si>
  <si>
    <r>
      <rPr>
        <sz val="10"/>
        <color rgb="FF000000"/>
        <rFont val="微软雅黑"/>
        <charset val="134"/>
      </rPr>
      <t>立式反应柱，体积</t>
    </r>
    <r>
      <rPr>
        <sz val="10"/>
        <color rgb="FF0070C0"/>
        <rFont val="微软雅黑"/>
        <charset val="134"/>
      </rPr>
      <t>5.1</t>
    </r>
    <r>
      <rPr>
        <sz val="10"/>
        <color rgb="FF000000"/>
        <rFont val="微软雅黑"/>
        <charset val="134"/>
      </rPr>
      <t>L，换热面积：</t>
    </r>
    <r>
      <rPr>
        <sz val="10"/>
        <color rgb="FF0070C0"/>
        <rFont val="微软雅黑"/>
        <charset val="134"/>
      </rPr>
      <t>0.27</t>
    </r>
    <r>
      <rPr>
        <sz val="10"/>
        <color rgb="FF000000"/>
        <rFont val="微软雅黑"/>
        <charset val="134"/>
      </rPr>
      <t xml:space="preserve">㎡，与物料接触材质：316L
Vertical reaction column, volume </t>
    </r>
    <r>
      <rPr>
        <sz val="10"/>
        <color rgb="FF0070C0"/>
        <rFont val="微软雅黑"/>
        <charset val="134"/>
      </rPr>
      <t>5.1</t>
    </r>
    <r>
      <rPr>
        <sz val="10"/>
        <color rgb="FF000000"/>
        <rFont val="微软雅黑"/>
        <charset val="134"/>
      </rPr>
      <t xml:space="preserve">L, heat exchange area: </t>
    </r>
    <r>
      <rPr>
        <sz val="10"/>
        <color rgb="FF0070C0"/>
        <rFont val="微软雅黑"/>
        <charset val="134"/>
      </rPr>
      <t>0.27</t>
    </r>
    <r>
      <rPr>
        <sz val="10"/>
        <color rgb="FF000000"/>
        <rFont val="微软雅黑"/>
        <charset val="134"/>
      </rPr>
      <t xml:space="preserve"> ㎡, material in contact with material: 316L</t>
    </r>
  </si>
  <si>
    <t>原料反应
Raw material reaction</t>
  </si>
  <si>
    <t>DN80</t>
  </si>
  <si>
    <t>反应柱02
Continuous Reactor
 Column 02</t>
  </si>
  <si>
    <r>
      <rPr>
        <sz val="10"/>
        <color rgb="FF000000"/>
        <rFont val="微软雅黑"/>
        <charset val="134"/>
      </rPr>
      <t>立式反应柱，体积</t>
    </r>
    <r>
      <rPr>
        <sz val="10"/>
        <color rgb="FF0070C0"/>
        <rFont val="微软雅黑"/>
        <charset val="134"/>
      </rPr>
      <t>3.5</t>
    </r>
    <r>
      <rPr>
        <sz val="10"/>
        <color rgb="FF000000"/>
        <rFont val="微软雅黑"/>
        <charset val="134"/>
      </rPr>
      <t>L，换热面积：</t>
    </r>
    <r>
      <rPr>
        <sz val="10"/>
        <color rgb="FF0070C0"/>
        <rFont val="微软雅黑"/>
        <charset val="134"/>
      </rPr>
      <t>0.23</t>
    </r>
    <r>
      <rPr>
        <sz val="10"/>
        <color rgb="FF000000"/>
        <rFont val="微软雅黑"/>
        <charset val="134"/>
      </rPr>
      <t xml:space="preserve">㎡，与物料接触材质：316L
Vertical reaction column, volume </t>
    </r>
    <r>
      <rPr>
        <sz val="10"/>
        <color rgb="FF0070C0"/>
        <rFont val="微软雅黑"/>
        <charset val="134"/>
      </rPr>
      <t>3.5</t>
    </r>
    <r>
      <rPr>
        <sz val="10"/>
        <color rgb="FF000000"/>
        <rFont val="微软雅黑"/>
        <charset val="134"/>
      </rPr>
      <t xml:space="preserve">L, heat exchange area: </t>
    </r>
    <r>
      <rPr>
        <sz val="10"/>
        <color rgb="FF0070C0"/>
        <rFont val="微软雅黑"/>
        <charset val="134"/>
      </rPr>
      <t>0.23</t>
    </r>
    <r>
      <rPr>
        <sz val="10"/>
        <color rgb="FF000000"/>
        <rFont val="微软雅黑"/>
        <charset val="134"/>
      </rPr>
      <t xml:space="preserve"> ㎡, material in contact with material: 316L</t>
    </r>
  </si>
  <si>
    <t>DN65</t>
  </si>
  <si>
    <t>反应柱03
Continuous Reactor
 Column 03</t>
  </si>
  <si>
    <r>
      <rPr>
        <sz val="10"/>
        <color rgb="FF000000"/>
        <rFont val="微软雅黑"/>
        <charset val="134"/>
      </rPr>
      <t>立式反应柱，体积</t>
    </r>
    <r>
      <rPr>
        <sz val="10"/>
        <color rgb="FF0070C0"/>
        <rFont val="微软雅黑"/>
        <charset val="134"/>
      </rPr>
      <t>3.5</t>
    </r>
    <r>
      <rPr>
        <sz val="10"/>
        <color rgb="FF000000"/>
        <rFont val="微软雅黑"/>
        <charset val="134"/>
      </rPr>
      <t>L，换热面积：</t>
    </r>
    <r>
      <rPr>
        <sz val="10"/>
        <color rgb="FF0070C0"/>
        <rFont val="微软雅黑"/>
        <charset val="134"/>
      </rPr>
      <t>0.23</t>
    </r>
    <r>
      <rPr>
        <sz val="10"/>
        <color rgb="FF000000"/>
        <rFont val="微软雅黑"/>
        <charset val="134"/>
      </rPr>
      <t>㎡，与物料接触材质：316L
Vertical reaction column, volume</t>
    </r>
    <r>
      <rPr>
        <sz val="10"/>
        <color rgb="FF0070C0"/>
        <rFont val="微软雅黑"/>
        <charset val="134"/>
      </rPr>
      <t xml:space="preserve"> 3.5</t>
    </r>
    <r>
      <rPr>
        <sz val="10"/>
        <color rgb="FF000000"/>
        <rFont val="微软雅黑"/>
        <charset val="134"/>
      </rPr>
      <t xml:space="preserve">L, heat exchange area: </t>
    </r>
    <r>
      <rPr>
        <sz val="10"/>
        <color rgb="FF0070C0"/>
        <rFont val="微软雅黑"/>
        <charset val="134"/>
      </rPr>
      <t>0.23</t>
    </r>
    <r>
      <rPr>
        <sz val="10"/>
        <color rgb="FF000000"/>
        <rFont val="微软雅黑"/>
        <charset val="134"/>
      </rPr>
      <t xml:space="preserve"> ㎡, material in contact with material: 316L</t>
    </r>
  </si>
  <si>
    <t>预热器
Pre-heater</t>
  </si>
  <si>
    <t>换热器，换热面积：1.5㎡，与物料接触材质：316L
Heat exchanger, heat exchange area: 1.5 ㎡, material in contact with material: 316L</t>
  </si>
  <si>
    <t>原料预热
Preheating of raw materials</t>
  </si>
  <si>
    <t>冷凝器
Condenser</t>
  </si>
  <si>
    <t>换热器，换热面积：1.2㎡，与物料接触材质：316L
Heat exchanger, heat exchange area: 1.2 ㎡, material in contact with material: 316L</t>
  </si>
  <si>
    <t>反应后冷凝
Condensation after reaction</t>
  </si>
  <si>
    <t>气液分离器
Separator</t>
  </si>
  <si>
    <t>体积：20L，与物料接触材质：316L
Volume: 20L, material in contact with material: 316L</t>
  </si>
  <si>
    <t>分液
Liquid separation</t>
  </si>
  <si>
    <t>产品缓冲罐
Product
 Buffer Tank</t>
  </si>
  <si>
    <t>体系缓冲
System buffering</t>
  </si>
  <si>
    <t>设备CE 认证
Equipment CE certification</t>
  </si>
  <si>
    <t>项</t>
  </si>
  <si>
    <t>10台主设备CE认证
Main equipment CE certification</t>
  </si>
  <si>
    <t>材料EN 认证
Material EN certification</t>
  </si>
  <si>
    <t>10台主设备EN认证
Main equipment EN certification</t>
  </si>
  <si>
    <t>单项合计：</t>
  </si>
  <si>
    <t>辅助设备
Continuous reaction auxiliary equipment</t>
  </si>
  <si>
    <t>计量泵
Metering Pump</t>
  </si>
  <si>
    <t>液压隔膜泵，量程：40L/h，与物料接触材质：316L，单泵头，排出压力：8.0MPa
Hydraulic Diaphragm Pump, range: 40L/h, Material in contact with materials: 316L, Three pump heads, Discharge pressure：8.0MPa.</t>
  </si>
  <si>
    <t>进料，流速40L/h
feeding pump,40L/h.</t>
  </si>
  <si>
    <t>进口品牌，自带IECE认证，英文资料</t>
  </si>
  <si>
    <r>
      <rPr>
        <sz val="10"/>
        <color rgb="FF000000"/>
        <rFont val="微软雅黑"/>
        <charset val="134"/>
      </rPr>
      <t>液压隔膜泵，量程：</t>
    </r>
    <r>
      <rPr>
        <sz val="10"/>
        <color rgb="FF0070C0"/>
        <rFont val="微软雅黑"/>
        <charset val="134"/>
      </rPr>
      <t>0~1</t>
    </r>
    <r>
      <rPr>
        <sz val="10"/>
        <color rgb="FF000000"/>
        <rFont val="微软雅黑"/>
        <charset val="134"/>
      </rPr>
      <t xml:space="preserve">m3/h，与物料接触材质：316L，排出压力：0.6MPa，扬程：20m
Hydraulic Diaphragm Pump, range: </t>
    </r>
    <r>
      <rPr>
        <sz val="10"/>
        <color rgb="FF0070C0"/>
        <rFont val="微软雅黑"/>
        <charset val="134"/>
      </rPr>
      <t>0~1</t>
    </r>
    <r>
      <rPr>
        <sz val="10"/>
        <color rgb="FF000000"/>
        <rFont val="微软雅黑"/>
        <charset val="134"/>
      </rPr>
      <t>m3/h, material in contact with material: 316L, discharge pressure: 0.6MPa, head: 20m</t>
    </r>
  </si>
  <si>
    <t>产品转移泵
Product transfer pump</t>
  </si>
  <si>
    <t>电气仪表和自控阀门
Electrical instruments and control valves</t>
  </si>
  <si>
    <t>质量流量计
Mass Flowmeter</t>
  </si>
  <si>
    <r>
      <rPr>
        <sz val="10"/>
        <color rgb="FF000000"/>
        <rFont val="微软雅黑"/>
        <charset val="134"/>
      </rPr>
      <t>测量范围：0~</t>
    </r>
    <r>
      <rPr>
        <sz val="10"/>
        <color rgb="FF0070C0"/>
        <rFont val="微软雅黑"/>
        <charset val="134"/>
      </rPr>
      <t>50</t>
    </r>
    <r>
      <rPr>
        <sz val="10"/>
        <color rgb="FF000000"/>
        <rFont val="微软雅黑"/>
        <charset val="134"/>
      </rPr>
      <t>L/h，测量精度±0.5%，与物料接触材质：316L
Measuring range: 0~</t>
    </r>
    <r>
      <rPr>
        <sz val="10"/>
        <color rgb="FF0070C0"/>
        <rFont val="微软雅黑"/>
        <charset val="134"/>
      </rPr>
      <t>50</t>
    </r>
    <r>
      <rPr>
        <sz val="10"/>
        <color rgb="FF000000"/>
        <rFont val="微软雅黑"/>
        <charset val="134"/>
      </rPr>
      <t>L/h, Measuring accuracy: 0.5%, Material in contact with materials: 316L</t>
    </r>
  </si>
  <si>
    <t>流量计量
flow measure</t>
  </si>
  <si>
    <t>Raw Material</t>
  </si>
  <si>
    <t>进口品牌，自带CE认证</t>
  </si>
  <si>
    <t>质量流量计控制器
Mass Flow Controller</t>
  </si>
  <si>
    <r>
      <rPr>
        <sz val="10"/>
        <color rgb="FF000000"/>
        <rFont val="微软雅黑"/>
        <charset val="134"/>
      </rPr>
      <t>测量范围：0-50L</t>
    </r>
    <r>
      <rPr>
        <sz val="10"/>
        <color rgb="FF000000"/>
        <rFont val="微软雅黑"/>
        <charset val="134"/>
      </rPr>
      <t>/min，测量精度±0.5%，与物料接触材质：</t>
    </r>
    <r>
      <rPr>
        <sz val="10"/>
        <color rgb="FF000000"/>
        <rFont val="微软雅黑"/>
        <charset val="134"/>
      </rPr>
      <t>316L</t>
    </r>
    <r>
      <rPr>
        <sz val="10"/>
        <color rgb="FF000000"/>
        <rFont val="微软雅黑"/>
        <charset val="134"/>
      </rPr>
      <t xml:space="preserve">
Measuring range: </t>
    </r>
    <r>
      <rPr>
        <sz val="10"/>
        <color rgb="FF000000"/>
        <rFont val="微软雅黑"/>
        <charset val="134"/>
      </rPr>
      <t>0-50L/min</t>
    </r>
    <r>
      <rPr>
        <sz val="10"/>
        <color rgb="FF000000"/>
        <rFont val="微软雅黑"/>
        <charset val="134"/>
      </rPr>
      <t xml:space="preserve">, Measuring accuracy: 0.5%, Material in contact with materials: </t>
    </r>
    <r>
      <rPr>
        <sz val="10"/>
        <color rgb="FF000000"/>
        <rFont val="微软雅黑"/>
        <charset val="134"/>
      </rPr>
      <t>316L</t>
    </r>
    <r>
      <rPr>
        <sz val="10"/>
        <color rgb="FF000000"/>
        <rFont val="微软雅黑"/>
        <charset val="134"/>
      </rPr>
      <t>.</t>
    </r>
  </si>
  <si>
    <t>H2</t>
  </si>
  <si>
    <r>
      <rPr>
        <sz val="10"/>
        <color rgb="FF000000"/>
        <rFont val="微软雅黑"/>
        <charset val="134"/>
      </rPr>
      <t>测量范围：0~</t>
    </r>
    <r>
      <rPr>
        <sz val="10"/>
        <color rgb="FF0070C0"/>
        <rFont val="微软雅黑"/>
        <charset val="134"/>
      </rPr>
      <t>50</t>
    </r>
    <r>
      <rPr>
        <sz val="10"/>
        <color rgb="FF000000"/>
        <rFont val="微软雅黑"/>
        <charset val="134"/>
      </rPr>
      <t>L/h，测量精度±0.5%，与物料接触材质：316L
Measuring range: 0~3L/h, Measuring accuracy: 0.5%, Material in contact with materials: 316L.</t>
    </r>
  </si>
  <si>
    <t>Produce</t>
  </si>
  <si>
    <t>金属转子流量计
metal rotor flowmeter</t>
  </si>
  <si>
    <r>
      <rPr>
        <sz val="10"/>
        <color rgb="FF000000"/>
        <rFont val="微软雅黑"/>
        <charset val="134"/>
      </rPr>
      <t>测量范围：0~10L/min，测量精度： ±0.5%，与物料接触材质：316L，</t>
    </r>
    <r>
      <rPr>
        <sz val="10"/>
        <color rgb="FF0070C0"/>
        <rFont val="微软雅黑"/>
        <charset val="134"/>
      </rPr>
      <t>介质：N2气体</t>
    </r>
    <r>
      <rPr>
        <sz val="10"/>
        <color rgb="FF000000"/>
        <rFont val="微软雅黑"/>
        <charset val="134"/>
      </rPr>
      <t xml:space="preserve">
Measuring range: 1~10L/min, Measuring accuracy: 0.5%, Material in contact with materials: 316L.Medium: N2 gas</t>
    </r>
  </si>
  <si>
    <t>N2</t>
  </si>
  <si>
    <t>温度变送器
Temperature Transmitter</t>
  </si>
  <si>
    <r>
      <rPr>
        <sz val="10"/>
        <color rgb="FF000000"/>
        <rFont val="微软雅黑"/>
        <charset val="134"/>
      </rPr>
      <t>测量范围：0~150</t>
    </r>
    <r>
      <rPr>
        <sz val="10"/>
        <color rgb="FF000000"/>
        <rFont val="微软雅黑"/>
        <charset val="134"/>
      </rPr>
      <t>℃，测量精度±0.2%FS，</t>
    </r>
    <r>
      <rPr>
        <sz val="10"/>
        <color rgb="FF000000"/>
        <rFont val="微软雅黑"/>
        <charset val="134"/>
      </rPr>
      <t>6mm</t>
    </r>
    <r>
      <rPr>
        <sz val="10"/>
        <color rgb="FF000000"/>
        <rFont val="微软雅黑"/>
        <charset val="134"/>
      </rPr>
      <t>探头
Measuring range: 0~</t>
    </r>
    <r>
      <rPr>
        <sz val="10"/>
        <color rgb="FF000000"/>
        <rFont val="微软雅黑"/>
        <charset val="134"/>
      </rPr>
      <t>150</t>
    </r>
    <r>
      <rPr>
        <sz val="10"/>
        <color rgb="FF000000"/>
        <rFont val="微软雅黑"/>
        <charset val="134"/>
      </rPr>
      <t xml:space="preserve">℃,  Measuring accuracy ±0.2%FS, </t>
    </r>
    <r>
      <rPr>
        <sz val="10"/>
        <color rgb="FF000000"/>
        <rFont val="微软雅黑"/>
        <charset val="134"/>
      </rPr>
      <t>6mm probe.</t>
    </r>
  </si>
  <si>
    <t>个</t>
  </si>
  <si>
    <t>温度检测
temperature measure</t>
  </si>
  <si>
    <t>H2、MTBE等</t>
  </si>
  <si>
    <t>测量范围：-20~+120℃，测量精度±0.2%FS，6mm探头
Measuring range: -20~+120℃,  Measuring accuracy ±0.2%FS, 6mm probe.</t>
  </si>
  <si>
    <t>HTF等</t>
  </si>
  <si>
    <t>压力变送器
Pressure Transmitter</t>
  </si>
  <si>
    <t>测量范围：0~8.0MPa，测量精度±0.5%，与物料接触材质：316L
Measuring range: 0~8.0MPa, Measuring accuracy: 0.5%, Material in contact with materials: 316L.</t>
  </si>
  <si>
    <t>压力检测
pressure measure</t>
  </si>
  <si>
    <t>液位计
 Liquid level measurment</t>
  </si>
  <si>
    <t>测量范围：0~1000mm（TBD），测量精度±1%，与物料接触材质：316L
Measuring range: 0~1000mm, Measuring accuracy: ±1%, Material in contact with materials: 316L</t>
  </si>
  <si>
    <t>液位测量
level measurement</t>
  </si>
  <si>
    <t>气动调节阀
Pneumatic control valve</t>
  </si>
  <si>
    <r>
      <rPr>
        <sz val="10"/>
        <color rgb="FF000000"/>
        <rFont val="微软雅黑"/>
        <charset val="134"/>
      </rPr>
      <t>工作压力：0.4MPa，工作温度： 10~40</t>
    </r>
    <r>
      <rPr>
        <sz val="10"/>
        <color rgb="FF000000"/>
        <rFont val="微软雅黑"/>
        <charset val="134"/>
      </rPr>
      <t xml:space="preserve">℃，防爆
Working pressure: 0.4MPa, working temperature: </t>
    </r>
    <r>
      <rPr>
        <sz val="10"/>
        <color rgb="FF000000"/>
        <rFont val="微软雅黑"/>
        <charset val="134"/>
      </rPr>
      <t>10~40</t>
    </r>
    <r>
      <rPr>
        <sz val="10"/>
        <color rgb="FF000000"/>
        <rFont val="微软雅黑"/>
        <charset val="134"/>
      </rPr>
      <t xml:space="preserve"> ℃,explosion-proof</t>
    </r>
  </si>
  <si>
    <t>流量调节
flow regulation</t>
  </si>
  <si>
    <t>气动开关阀
Pneumatic switching valve</t>
  </si>
  <si>
    <t>工作压力：0-8.0MPa，工作温度： -20~130 ℃，防爆
Working pressure: 0-8.0MPa, working temperature: -80~-70 ℃, explosion-proof</t>
  </si>
  <si>
    <t>开关控制
switch control</t>
  </si>
  <si>
    <t>控制系统
Control System</t>
  </si>
  <si>
    <t>控制系统（SCADA-现场防爆）
Control System</t>
  </si>
  <si>
    <r>
      <rPr>
        <sz val="10"/>
        <color rgb="FF000000"/>
        <rFont val="微软雅黑"/>
        <charset val="134"/>
      </rPr>
      <t>防爆变频柜：内置3个变频器（2.2kw），I/O模块若干，满足欧洲防爆要求（ATEX）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Explosion proof frequency conversion cabinet: equipped with 2 frequency converters and several I/O modules, meeting European explosion-proof requirements (ATEX)</t>
    </r>
  </si>
  <si>
    <r>
      <rPr>
        <sz val="10"/>
        <color rgb="FF000000"/>
        <rFont val="微软雅黑"/>
        <charset val="134"/>
      </rPr>
      <t>泵控制系统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Pump control System</t>
    </r>
  </si>
  <si>
    <t>西门子</t>
  </si>
  <si>
    <t>变频柜、PLC柜 合并，另外配置防爆操作站</t>
  </si>
  <si>
    <r>
      <rPr>
        <sz val="10"/>
        <color rgb="FF000000"/>
        <rFont val="微软雅黑"/>
        <charset val="134"/>
      </rPr>
      <t>移动防爆操作站：内置工控机，PLC控制，显示器，WINCC客户端软件，UPS电源等，满足欧洲防爆要求（ATEX）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Mobile explosion-proof operation station: built-in industrial computer, PLC control, display, WINCC client software, UPS power supply, etc., meeting European explosion-proof requirements (ATEX)</t>
    </r>
  </si>
  <si>
    <r>
      <rPr>
        <sz val="10"/>
        <color rgb="FF000000"/>
        <rFont val="微软雅黑"/>
        <charset val="134"/>
      </rPr>
      <t>控制系统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Control System</t>
    </r>
  </si>
  <si>
    <t>模块化组装
Modular assembly</t>
  </si>
  <si>
    <r>
      <rPr>
        <sz val="10"/>
        <color rgb="FF000000"/>
        <rFont val="微软雅黑"/>
        <charset val="134"/>
      </rPr>
      <t>设备手阀、单向阀、安全阀、管路及保温、模块化框架及</t>
    </r>
    <r>
      <rPr>
        <sz val="10"/>
        <color rgb="FF00B0F0"/>
        <rFont val="微软雅黑"/>
        <charset val="134"/>
      </rPr>
      <t>外部连接管线、步梯</t>
    </r>
    <r>
      <rPr>
        <sz val="10"/>
        <color rgb="FF000000"/>
        <rFont val="微软雅黑"/>
        <charset val="134"/>
      </rPr>
      <t xml:space="preserve">
Equipment hand valves, one-way valves, safety valves, pipelines and insulation, modular frames, and electrical pipelines, external connection pipelines, steps，etc</t>
    </r>
  </si>
  <si>
    <t>内部加工</t>
  </si>
  <si>
    <t>CFCT预估</t>
  </si>
  <si>
    <r>
      <rPr>
        <sz val="10"/>
        <color rgb="FF000000"/>
        <rFont val="微软雅黑"/>
        <charset val="134"/>
      </rPr>
      <t>仪表电气安装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E&amp;I Installation</t>
    </r>
  </si>
  <si>
    <r>
      <rPr>
        <sz val="10"/>
        <color rgb="FF000000"/>
        <rFont val="微软雅黑"/>
        <charset val="134"/>
      </rPr>
      <t>自控仪表、自控阀门、变频器撬装内安装、接线、测试。含撬装内部电缆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Installation and locally test for control instruments、valves、VFD pumps，internal control cables included</t>
    </r>
  </si>
  <si>
    <t>国内电气仪表组装部分。尽可能预制大部分电缆，减少Sandwich部分电缆工作量</t>
  </si>
  <si>
    <t>CE认证 
CE certification</t>
  </si>
  <si>
    <r>
      <rPr>
        <sz val="10"/>
        <color rgb="FF000000"/>
        <rFont val="微软雅黑"/>
        <charset val="134"/>
      </rPr>
      <t>MD</t>
    </r>
    <r>
      <rPr>
        <sz val="10"/>
        <color rgb="FF000000"/>
        <rFont val="微软雅黑"/>
        <charset val="134"/>
      </rPr>
      <t xml:space="preserve">认证
</t>
    </r>
    <r>
      <rPr>
        <sz val="10"/>
        <color rgb="FF000000"/>
        <rFont val="微软雅黑"/>
        <charset val="134"/>
      </rPr>
      <t>MD</t>
    </r>
    <r>
      <rPr>
        <sz val="10"/>
        <color rgb="FF000000"/>
        <rFont val="微软雅黑"/>
        <charset val="134"/>
      </rPr>
      <t>certification</t>
    </r>
  </si>
  <si>
    <r>
      <rPr>
        <sz val="10"/>
        <color rgb="FF000000"/>
        <rFont val="微软雅黑"/>
        <charset val="134"/>
      </rPr>
      <t xml:space="preserve">Asymchem整撬认证，机械指令MD2006/42/EC
</t>
    </r>
    <r>
      <rPr>
        <sz val="10"/>
        <color rgb="FF000000"/>
        <rFont val="微软雅黑"/>
        <charset val="134"/>
      </rPr>
      <t>Asymchem whole pry certification, Machinery Directive MD2006/42/EC</t>
    </r>
  </si>
  <si>
    <t>供应商诚信报价</t>
  </si>
  <si>
    <t>ATEX认证
ATEX certification</t>
  </si>
  <si>
    <t>基于防爆区域为1区的前提下，器件都满足CE认证的情况下，防爆指令ATEX2014/34/EU检查评估（文件接收型认证）
Based on the premise that the explosion-proof area is Zone 1 and all devices meet CE certification, the explosion-proof directive ATEX2014/34/EU inspection and evaluation (document receiving certification)</t>
  </si>
  <si>
    <t>税费
taxation</t>
  </si>
  <si>
    <t>技术服务协议按照6%收税
The technical service agreement is taxed at 6%</t>
  </si>
  <si>
    <t>设备出口安装
Equipment export and installation</t>
  </si>
  <si>
    <t>手续办理
Procedure handling</t>
  </si>
  <si>
    <t>设备出口相关手续的办理
Handling of equipment export related procedures</t>
  </si>
  <si>
    <t>请进出口部门协助评估？</t>
  </si>
  <si>
    <t xml:space="preserve">货物运输
Freight transportation </t>
  </si>
  <si>
    <t>货物运输至海外工厂
Transport of goods to overseas factories</t>
  </si>
  <si>
    <t>CFCT预估，请进出口部门协助核算</t>
  </si>
  <si>
    <t xml:space="preserve">设备安装
Equipment installation </t>
  </si>
  <si>
    <t>海外工厂设备安装
Overseas factory equipment installation</t>
  </si>
  <si>
    <t>总费用合计：</t>
  </si>
  <si>
    <t>折合美元：</t>
  </si>
  <si>
    <t>折合英镑：</t>
  </si>
  <si>
    <t>认证流程图</t>
  </si>
  <si>
    <t>序号</t>
  </si>
  <si>
    <t>设备名称</t>
  </si>
  <si>
    <t>服务指令</t>
  </si>
  <si>
    <t>报价万元</t>
  </si>
  <si>
    <t>ASYMCHEM整撬</t>
  </si>
  <si>
    <t>机械指令MD2006/42/EC</t>
  </si>
  <si>
    <t>防爆指令ATEX2014/34/EU检查评估（文件接收型认证）</t>
  </si>
  <si>
    <t>note:</t>
  </si>
  <si>
    <t>1.本报价基于防爆区域为2区的前提下，器件都满足CE认证的情况下。</t>
  </si>
  <si>
    <t>认证资料</t>
  </si>
  <si>
    <r>
      <rPr>
        <sz val="10"/>
        <color rgb="FF000000"/>
        <rFont val="Arial"/>
        <charset val="134"/>
      </rPr>
      <t>0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申请表：我司提供模板并指导填写；</t>
    </r>
  </si>
  <si>
    <r>
      <rPr>
        <sz val="10"/>
        <color rgb="FF000000"/>
        <rFont val="Arial"/>
        <charset val="134"/>
      </rPr>
      <t>1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产品功能描述：我司提供模板并指导填写；</t>
    </r>
  </si>
  <si>
    <r>
      <rPr>
        <sz val="10"/>
        <color rgb="FF000000"/>
        <rFont val="Arial"/>
        <charset val="134"/>
      </rPr>
      <t>2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机械规格表：我司提供模板并指导填写；</t>
    </r>
  </si>
  <si>
    <r>
      <rPr>
        <sz val="10"/>
        <color rgb="FF000000"/>
        <rFont val="Arial"/>
        <charset val="134"/>
      </rPr>
      <t>3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图纸：</t>
    </r>
  </si>
  <si>
    <r>
      <rPr>
        <sz val="10"/>
        <color rgb="FF000000"/>
        <rFont val="Arial"/>
        <charset val="134"/>
      </rPr>
      <t>3.1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机械外观尺寸图：</t>
    </r>
  </si>
  <si>
    <r>
      <rPr>
        <sz val="10"/>
        <color rgb="FF000000"/>
        <rFont val="Arial"/>
        <charset val="134"/>
      </rPr>
      <t>3.2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机械主要部件图：</t>
    </r>
  </si>
  <si>
    <r>
      <rPr>
        <sz val="10"/>
        <color rgb="FF000000"/>
        <rFont val="Arial"/>
        <charset val="134"/>
      </rPr>
      <t>3.3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机械安全装置及分布图：</t>
    </r>
  </si>
  <si>
    <r>
      <rPr>
        <sz val="10"/>
        <color rgb="FF000000"/>
        <rFont val="Arial"/>
        <charset val="134"/>
      </rPr>
      <t>3.4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设备铭牌图：</t>
    </r>
  </si>
  <si>
    <r>
      <rPr>
        <sz val="10"/>
        <color rgb="FF000000"/>
        <rFont val="Arial"/>
        <charset val="134"/>
      </rPr>
      <t>3.5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电气原理图：</t>
    </r>
  </si>
  <si>
    <r>
      <rPr>
        <sz val="10"/>
        <color rgb="FF000000"/>
        <rFont val="Arial"/>
        <charset val="134"/>
      </rPr>
      <t>3.6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气动原理图：</t>
    </r>
  </si>
  <si>
    <r>
      <rPr>
        <sz val="10"/>
        <color rgb="FF000000"/>
        <rFont val="Arial"/>
        <charset val="134"/>
      </rPr>
      <t>3.7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液压原理图：</t>
    </r>
  </si>
  <si>
    <r>
      <rPr>
        <sz val="10"/>
        <color rgb="FF000000"/>
        <rFont val="Arial"/>
        <charset val="134"/>
      </rPr>
      <t>3.8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机身标识及其分布图；</t>
    </r>
  </si>
  <si>
    <r>
      <rPr>
        <sz val="10"/>
        <color rgb="FF000000"/>
        <rFont val="Arial"/>
        <charset val="134"/>
      </rPr>
      <t>3.9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操作位置示意图；</t>
    </r>
  </si>
  <si>
    <r>
      <rPr>
        <sz val="10"/>
        <color rgb="FF000000"/>
        <rFont val="Arial"/>
        <charset val="134"/>
      </rPr>
      <t>3.10</t>
    </r>
    <r>
      <rPr>
        <sz val="7"/>
        <color rgb="FF000000"/>
        <rFont val="Times New Roman"/>
        <charset val="134"/>
      </rPr>
      <t xml:space="preserve">     </t>
    </r>
    <r>
      <rPr>
        <sz val="10"/>
        <color rgb="FF000000"/>
        <rFont val="宋体"/>
        <charset val="134"/>
      </rPr>
      <t>搬运吊装示意图；</t>
    </r>
  </si>
  <si>
    <r>
      <rPr>
        <sz val="10"/>
        <color rgb="FF000000"/>
        <rFont val="Arial"/>
        <charset val="134"/>
      </rPr>
      <t>3.11</t>
    </r>
    <r>
      <rPr>
        <sz val="7"/>
        <color rgb="FF000000"/>
        <rFont val="Times New Roman"/>
        <charset val="134"/>
      </rPr>
      <t xml:space="preserve">     </t>
    </r>
    <r>
      <rPr>
        <sz val="10"/>
        <color rgb="FF000000"/>
        <rFont val="宋体"/>
        <charset val="134"/>
      </rPr>
      <t>防爆分区图；</t>
    </r>
  </si>
  <si>
    <r>
      <rPr>
        <sz val="10"/>
        <color rgb="FF000000"/>
        <rFont val="Arial"/>
        <charset val="134"/>
      </rPr>
      <t>4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零部件</t>
    </r>
    <r>
      <rPr>
        <sz val="10"/>
        <color rgb="FF000000"/>
        <rFont val="Arial"/>
        <charset val="134"/>
      </rPr>
      <t>CE</t>
    </r>
    <r>
      <rPr>
        <sz val="10"/>
        <color rgb="FF000000"/>
        <rFont val="宋体"/>
        <charset val="134"/>
      </rPr>
      <t>证书或测试报告</t>
    </r>
  </si>
  <si>
    <r>
      <rPr>
        <sz val="10"/>
        <color rgb="FF000000"/>
        <rFont val="Arial"/>
        <charset val="134"/>
      </rPr>
      <t>4.1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机械部件</t>
    </r>
    <r>
      <rPr>
        <sz val="10"/>
        <color rgb="FF000000"/>
        <rFont val="Arial"/>
        <charset val="134"/>
      </rPr>
      <t>CE</t>
    </r>
    <r>
      <rPr>
        <sz val="10"/>
        <color rgb="FF000000"/>
        <rFont val="宋体"/>
        <charset val="134"/>
      </rPr>
      <t>证书或测试报告（并附上组件表）；</t>
    </r>
  </si>
  <si>
    <r>
      <rPr>
        <sz val="10"/>
        <color rgb="FF000000"/>
        <rFont val="Arial"/>
        <charset val="134"/>
      </rPr>
      <t>4.2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电气组件</t>
    </r>
    <r>
      <rPr>
        <sz val="10"/>
        <color rgb="FF000000"/>
        <rFont val="Arial"/>
        <charset val="134"/>
      </rPr>
      <t>CE</t>
    </r>
    <r>
      <rPr>
        <sz val="10"/>
        <color rgb="FF000000"/>
        <rFont val="宋体"/>
        <charset val="134"/>
      </rPr>
      <t>证书或测试报告（并附上组件表）；</t>
    </r>
  </si>
  <si>
    <r>
      <rPr>
        <sz val="10"/>
        <color rgb="FF000000"/>
        <rFont val="Arial"/>
        <charset val="134"/>
      </rPr>
      <t>4.3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气动组件</t>
    </r>
    <r>
      <rPr>
        <sz val="10"/>
        <color rgb="FF000000"/>
        <rFont val="Arial"/>
        <charset val="134"/>
      </rPr>
      <t>CE</t>
    </r>
    <r>
      <rPr>
        <sz val="10"/>
        <color rgb="FF000000"/>
        <rFont val="宋体"/>
        <charset val="134"/>
      </rPr>
      <t>证书或测试报告（并附上组件表）；</t>
    </r>
  </si>
  <si>
    <r>
      <rPr>
        <sz val="10"/>
        <color rgb="FF000000"/>
        <rFont val="Arial"/>
        <charset val="134"/>
      </rPr>
      <t>4.4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液压组件</t>
    </r>
    <r>
      <rPr>
        <sz val="10"/>
        <color rgb="FF000000"/>
        <rFont val="Arial"/>
        <charset val="134"/>
      </rPr>
      <t>CE</t>
    </r>
    <r>
      <rPr>
        <sz val="10"/>
        <color rgb="FF000000"/>
        <rFont val="宋体"/>
        <charset val="134"/>
      </rPr>
      <t>证书或测试报告（并附上组件表）；</t>
    </r>
  </si>
  <si>
    <r>
      <rPr>
        <sz val="10"/>
        <color rgb="FF000000"/>
        <rFont val="Arial"/>
        <charset val="134"/>
      </rPr>
      <t>4.5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防爆组件</t>
    </r>
    <r>
      <rPr>
        <sz val="10"/>
        <color rgb="FF000000"/>
        <rFont val="Arial"/>
        <charset val="134"/>
      </rPr>
      <t>CE-ATEX</t>
    </r>
    <r>
      <rPr>
        <sz val="10"/>
        <color rgb="FF000000"/>
        <rFont val="宋体"/>
        <charset val="134"/>
      </rPr>
      <t>证书（并附上组件表）；</t>
    </r>
  </si>
  <si>
    <r>
      <rPr>
        <sz val="10"/>
        <color rgb="FF000000"/>
        <rFont val="Arial"/>
        <charset val="134"/>
      </rPr>
      <t>5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安全设计计算</t>
    </r>
  </si>
  <si>
    <r>
      <rPr>
        <sz val="10"/>
        <color rgb="FF000000"/>
        <rFont val="Arial"/>
        <charset val="134"/>
      </rPr>
      <t>5.1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电气安全回路可靠性能等级计算</t>
    </r>
  </si>
  <si>
    <r>
      <rPr>
        <sz val="10"/>
        <color rgb="FF000000"/>
        <rFont val="Arial"/>
        <charset val="134"/>
      </rPr>
      <t>5.2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机械安全设计计算书；</t>
    </r>
  </si>
  <si>
    <r>
      <rPr>
        <sz val="10"/>
        <color rgb="FF000000"/>
        <rFont val="Arial"/>
        <charset val="134"/>
      </rPr>
      <t>5.3</t>
    </r>
    <r>
      <rPr>
        <sz val="7"/>
        <color rgb="FF000000"/>
        <rFont val="Times New Roman"/>
        <charset val="134"/>
      </rPr>
      <t xml:space="preserve">       </t>
    </r>
    <r>
      <rPr>
        <sz val="10"/>
        <color rgb="FF000000"/>
        <rFont val="宋体"/>
        <charset val="134"/>
      </rPr>
      <t>防爆结构设计校核书（如有必要）；</t>
    </r>
  </si>
  <si>
    <r>
      <rPr>
        <sz val="10"/>
        <color rgb="FF000000"/>
        <rFont val="Arial"/>
        <charset val="134"/>
      </rPr>
      <t>6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材质证明、测试报告：第</t>
    </r>
    <r>
      <rPr>
        <sz val="10"/>
        <color rgb="FF000000"/>
        <rFont val="Arial"/>
        <charset val="134"/>
      </rPr>
      <t>5.2</t>
    </r>
    <r>
      <rPr>
        <sz val="10"/>
        <color rgb="FF000000"/>
        <rFont val="宋体"/>
        <charset val="134"/>
      </rPr>
      <t>条的计算中涉及到的数据文件；</t>
    </r>
  </si>
  <si>
    <r>
      <rPr>
        <sz val="10"/>
        <color rgb="FF000000"/>
        <rFont val="Arial"/>
        <charset val="134"/>
      </rPr>
      <t>7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安全相关部件数据表：第</t>
    </r>
    <r>
      <rPr>
        <sz val="10"/>
        <color rgb="FF000000"/>
        <rFont val="Arial"/>
        <charset val="134"/>
      </rPr>
      <t>5.1</t>
    </r>
    <r>
      <rPr>
        <sz val="10"/>
        <color rgb="FF000000"/>
        <rFont val="宋体"/>
        <charset val="134"/>
      </rPr>
      <t>条的计算中涉及到的数据文件；</t>
    </r>
  </si>
  <si>
    <r>
      <rPr>
        <sz val="10"/>
        <color rgb="FF000000"/>
        <rFont val="Arial"/>
        <charset val="134"/>
      </rPr>
      <t>8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设备说明书；</t>
    </r>
  </si>
  <si>
    <r>
      <rPr>
        <sz val="10"/>
        <color rgb="FF000000"/>
        <rFont val="Arial"/>
        <charset val="134"/>
      </rPr>
      <t>9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风险分析报告：我司提供模板并指导填写；</t>
    </r>
  </si>
  <si>
    <r>
      <rPr>
        <sz val="10"/>
        <color rgb="FF000000"/>
        <rFont val="Arial"/>
        <charset val="134"/>
      </rPr>
      <t>10</t>
    </r>
    <r>
      <rPr>
        <sz val="7"/>
        <color rgb="FF000000"/>
        <rFont val="Times New Roman"/>
        <charset val="134"/>
      </rPr>
      <t xml:space="preserve">      </t>
    </r>
    <r>
      <rPr>
        <sz val="10"/>
        <color rgb="FF000000"/>
        <rFont val="宋体"/>
        <charset val="134"/>
      </rPr>
      <t>质量管理体系证书：</t>
    </r>
    <r>
      <rPr>
        <sz val="10"/>
        <color rgb="FF000000"/>
        <rFont val="Arial"/>
        <charset val="134"/>
      </rPr>
      <t>ISO 9001</t>
    </r>
  </si>
  <si>
    <r>
      <rPr>
        <sz val="10"/>
        <color rgb="FF000000"/>
        <rFont val="Arial"/>
        <charset val="134"/>
      </rPr>
      <t>11</t>
    </r>
    <r>
      <rPr>
        <sz val="7"/>
        <color rgb="FF000000"/>
        <rFont val="Times New Roman"/>
        <charset val="134"/>
      </rPr>
      <t xml:space="preserve">      </t>
    </r>
    <r>
      <rPr>
        <sz val="10"/>
        <color rgb="FF000000"/>
        <rFont val="宋体"/>
        <charset val="134"/>
      </rPr>
      <t>一致性声明：我司提供模板并指导填写；</t>
    </r>
  </si>
  <si>
    <t>备注：</t>
  </si>
  <si>
    <r>
      <rPr>
        <sz val="10"/>
        <color rgb="FF000000"/>
        <rFont val="Arial"/>
        <charset val="134"/>
      </rPr>
      <t>-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以上所有资料均应提供英文（可以为中英文对照）</t>
    </r>
  </si>
  <si>
    <r>
      <rPr>
        <sz val="10"/>
        <color rgb="FF000000"/>
        <rFont val="Arial"/>
        <charset val="134"/>
      </rPr>
      <t>-</t>
    </r>
    <r>
      <rPr>
        <sz val="7"/>
        <color rgb="FF000000"/>
        <rFont val="Times New Roman"/>
        <charset val="134"/>
      </rPr>
      <t xml:space="preserve">        </t>
    </r>
    <r>
      <rPr>
        <sz val="10"/>
        <color rgb="FF000000"/>
        <rFont val="宋体"/>
        <charset val="134"/>
      </rPr>
      <t>没有英文版本的测试报告或证书原件，可附上</t>
    </r>
    <r>
      <rPr>
        <sz val="10"/>
        <color rgb="FF000000"/>
        <rFont val="Arial"/>
        <charset val="134"/>
      </rPr>
      <t>Word</t>
    </r>
    <r>
      <rPr>
        <sz val="10"/>
        <color rgb="FF000000"/>
        <rFont val="宋体"/>
        <charset val="134"/>
      </rPr>
      <t>版本的英文翻译件（翻译件不需要签字盖章）；</t>
    </r>
  </si>
  <si>
    <r>
      <rPr>
        <b/>
        <sz val="12"/>
        <color rgb="FF000000"/>
        <rFont val="微软雅黑"/>
        <charset val="134"/>
      </rPr>
      <t>s</t>
    </r>
    <r>
      <rPr>
        <b/>
        <sz val="12"/>
        <color rgb="FF000000"/>
        <rFont val="微软雅黑"/>
        <charset val="134"/>
      </rPr>
      <t>andwich连续氢化实施计划表</t>
    </r>
  </si>
  <si>
    <t>时间 Time line</t>
  </si>
  <si>
    <t>month</t>
  </si>
  <si>
    <t>工作事项 work item</t>
  </si>
  <si>
    <t>负责部门</t>
  </si>
  <si>
    <t>HAZOP</t>
  </si>
  <si>
    <t>IEPE</t>
  </si>
  <si>
    <r>
      <rPr>
        <sz val="10"/>
        <color rgb="FF000000"/>
        <rFont val="微软雅黑"/>
        <charset val="134"/>
      </rPr>
      <t xml:space="preserve">PI&amp;D, </t>
    </r>
    <r>
      <rPr>
        <sz val="10"/>
        <color rgb="FF000000"/>
        <rFont val="微软雅黑"/>
        <charset val="134"/>
      </rPr>
      <t>Final Instrumentation &amp; Equipment List</t>
    </r>
    <r>
      <rPr>
        <sz val="10"/>
        <color rgb="FF000000"/>
        <rFont val="微软雅黑"/>
        <charset val="134"/>
      </rPr>
      <t xml:space="preserve"> &amp; Control</t>
    </r>
  </si>
  <si>
    <t>Final Mechanical Design of Equipment</t>
  </si>
  <si>
    <t>IEPE/CFCT</t>
  </si>
  <si>
    <t>Skid Setup</t>
  </si>
  <si>
    <t>Engineering Design Deliverables (incl. 3D design/model)</t>
  </si>
  <si>
    <t>CFCT</t>
  </si>
  <si>
    <t>Skid Procurement</t>
  </si>
  <si>
    <r>
      <rPr>
        <sz val="10"/>
        <color rgb="FF000000"/>
        <rFont val="微软雅黑"/>
        <charset val="134"/>
      </rPr>
      <t>Equipment Fabrication, Assembly &amp; Testing/Pre-commissioning</t>
    </r>
    <r>
      <rPr>
        <sz val="10"/>
        <color rgb="FF000000"/>
        <rFont val="微软雅黑"/>
        <charset val="134"/>
      </rPr>
      <t>/FAT</t>
    </r>
  </si>
  <si>
    <t>CE Certification of Equipment</t>
  </si>
  <si>
    <t>Documentation/Transport Assessment &amp; Packaging</t>
  </si>
  <si>
    <t>Export Logistics (EUKurope)</t>
  </si>
  <si>
    <t>Site Engineering Design</t>
  </si>
  <si>
    <t>PID</t>
  </si>
  <si>
    <t>UK/IEPE</t>
  </si>
  <si>
    <t>Engineering Design Deliverables</t>
  </si>
  <si>
    <t>Detailed design</t>
  </si>
  <si>
    <t>Procurement</t>
  </si>
  <si>
    <t>Site Construction</t>
  </si>
  <si>
    <t>Skid Tie-ins / Peripheral Installation</t>
  </si>
  <si>
    <r>
      <rPr>
        <sz val="10"/>
        <color rgb="FF000000"/>
        <rFont val="微软雅黑"/>
        <charset val="134"/>
      </rPr>
      <t>U</t>
    </r>
    <r>
      <rPr>
        <sz val="10"/>
        <color rgb="FF000000"/>
        <rFont val="微软雅黑"/>
        <charset val="134"/>
      </rPr>
      <t xml:space="preserve">K </t>
    </r>
  </si>
  <si>
    <t>Skid Installation</t>
  </si>
  <si>
    <r>
      <rPr>
        <sz val="10"/>
        <color rgb="FF000000"/>
        <rFont val="微软雅黑"/>
        <charset val="134"/>
      </rPr>
      <t>U</t>
    </r>
    <r>
      <rPr>
        <sz val="10"/>
        <color rgb="FF000000"/>
        <rFont val="微软雅黑"/>
        <charset val="134"/>
      </rPr>
      <t>K</t>
    </r>
  </si>
  <si>
    <t>Mechanical/EC&amp;I Installation (Piping)</t>
  </si>
  <si>
    <t>Acceptance Testing (DQ/IQ/OQ)</t>
  </si>
  <si>
    <t>Commissioning &amp; Start-up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</si>
</sst>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;\¥\-#,##0"/>
    <numFmt numFmtId="177" formatCode="[$€-2]\ #,##0.00;[$€-2]\ \-#,##0.00"/>
    <numFmt numFmtId="178" formatCode="[$£-809]#,##0;\-[$£-809]#,##0"/>
    <numFmt numFmtId="179" formatCode="General&quot; 万RMB&quot;"/>
    <numFmt numFmtId="180" formatCode="General&quot; M$&quot;"/>
    <numFmt numFmtId="181" formatCode="&quot;1USD=&quot;###0.00&quot;RMB&quot;"/>
    <numFmt numFmtId="182" formatCode="General&quot; M£&quot;"/>
    <numFmt numFmtId="183" formatCode="&quot;1£=&quot;###0.00&quot;RMB&quot;"/>
  </numFmts>
  <fonts count="37">
    <font>
      <sz val="12"/>
      <color theme="1"/>
      <name val="Calibri"/>
      <charset val="134"/>
      <scheme val="minor"/>
    </font>
    <font>
      <sz val="10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8"/>
      <color rgb="FF000000"/>
      <name val="微软雅黑"/>
      <charset val="134"/>
    </font>
    <font>
      <sz val="10"/>
      <color rgb="FFFF0000"/>
      <name val="微软雅黑"/>
      <charset val="134"/>
    </font>
    <font>
      <sz val="12"/>
      <color rgb="FF000000"/>
      <name val="等线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b/>
      <sz val="10"/>
      <color rgb="FF000000"/>
      <name val="宋体"/>
      <charset val="134"/>
    </font>
    <font>
      <sz val="12"/>
      <color rgb="FF000000"/>
      <name val="微软雅黑"/>
      <charset val="134"/>
    </font>
    <font>
      <sz val="11"/>
      <color rgb="FF000000"/>
      <name val="微软雅黑"/>
      <charset val="134"/>
    </font>
    <font>
      <sz val="10"/>
      <color rgb="FF0070C0"/>
      <name val="微软雅黑"/>
      <charset val="134"/>
    </font>
    <font>
      <sz val="12"/>
      <color rgb="FFFF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7"/>
      <color rgb="FF000000"/>
      <name val="Times New Roman"/>
      <charset val="134"/>
    </font>
    <font>
      <sz val="10"/>
      <color rgb="FF000000"/>
      <name val="宋体"/>
      <charset val="134"/>
    </font>
    <font>
      <sz val="10"/>
      <color rgb="FF00B0F0"/>
      <name val="微软雅黑"/>
      <charset val="134"/>
    </font>
  </fonts>
  <fills count="53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2" borderId="2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0" borderId="2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23" borderId="27" applyNumberFormat="0" applyAlignment="0" applyProtection="0">
      <alignment vertical="center"/>
    </xf>
    <xf numFmtId="0" fontId="24" fillId="24" borderId="28" applyNumberFormat="0" applyAlignment="0" applyProtection="0">
      <alignment vertical="center"/>
    </xf>
    <xf numFmtId="0" fontId="25" fillId="24" borderId="27" applyNumberFormat="0" applyAlignment="0" applyProtection="0">
      <alignment vertical="center"/>
    </xf>
    <xf numFmtId="0" fontId="26" fillId="25" borderId="29" applyNumberFormat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0" borderId="31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3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</cellStyleXfs>
  <cellXfs count="14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0" fillId="14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4" fillId="2" borderId="9" xfId="0" applyFont="1" applyFill="1" applyBorder="1" applyAlignment="1">
      <alignment horizontal="center" vertical="center"/>
    </xf>
    <xf numFmtId="0" fontId="0" fillId="12" borderId="2" xfId="0" applyFill="1" applyBorder="1">
      <alignment vertical="center"/>
    </xf>
    <xf numFmtId="0" fontId="0" fillId="9" borderId="2" xfId="0" applyFill="1" applyBorder="1">
      <alignment vertical="center"/>
    </xf>
    <xf numFmtId="0" fontId="6" fillId="0" borderId="0" xfId="0" applyFont="1">
      <alignment vertical="center"/>
    </xf>
    <xf numFmtId="0" fontId="6" fillId="0" borderId="4" xfId="0" applyFont="1" applyBorder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2"/>
    </xf>
    <xf numFmtId="0" fontId="7" fillId="0" borderId="0" xfId="0" applyFont="1" applyAlignment="1">
      <alignment horizontal="left" vertical="center" indent="5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0" fillId="0" borderId="0" xfId="0" applyFont="1">
      <alignment vertical="center"/>
    </xf>
    <xf numFmtId="0" fontId="2" fillId="15" borderId="15" xfId="0" applyFont="1" applyFill="1" applyBorder="1" applyAlignment="1">
      <alignment horizontal="center" vertical="center" wrapText="1"/>
    </xf>
    <xf numFmtId="0" fontId="2" fillId="15" borderId="16" xfId="0" applyFont="1" applyFill="1" applyBorder="1" applyAlignment="1">
      <alignment horizontal="center" vertical="center" wrapText="1"/>
    </xf>
    <xf numFmtId="0" fontId="3" fillId="15" borderId="17" xfId="0" applyFont="1" applyFill="1" applyBorder="1" applyAlignment="1">
      <alignment horizontal="center" vertical="center" wrapText="1"/>
    </xf>
    <xf numFmtId="0" fontId="3" fillId="15" borderId="1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16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176" fontId="12" fillId="17" borderId="11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2" fillId="18" borderId="18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77" fontId="1" fillId="0" borderId="0" xfId="0" applyNumberFormat="1" applyFont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3" fillId="15" borderId="22" xfId="0" applyFont="1" applyFill="1" applyBorder="1" applyAlignment="1">
      <alignment horizontal="center" vertical="center" wrapText="1"/>
    </xf>
    <xf numFmtId="176" fontId="12" fillId="0" borderId="16" xfId="0" applyNumberFormat="1" applyFont="1" applyBorder="1" applyAlignment="1">
      <alignment horizontal="center" vertical="center" wrapText="1"/>
    </xf>
    <xf numFmtId="176" fontId="12" fillId="16" borderId="16" xfId="0" applyNumberFormat="1" applyFont="1" applyFill="1" applyBorder="1" applyAlignment="1">
      <alignment horizontal="right" vertical="center" wrapText="1"/>
    </xf>
    <xf numFmtId="176" fontId="1" fillId="0" borderId="16" xfId="0" applyNumberFormat="1" applyFont="1" applyBorder="1" applyAlignment="1">
      <alignment horizontal="right" vertical="center" wrapText="1"/>
    </xf>
    <xf numFmtId="176" fontId="1" fillId="0" borderId="21" xfId="0" applyNumberFormat="1" applyFont="1" applyBorder="1" applyAlignment="1">
      <alignment horizontal="left" vertical="center" wrapText="1"/>
    </xf>
    <xf numFmtId="176" fontId="12" fillId="0" borderId="11" xfId="0" applyNumberFormat="1" applyFont="1" applyBorder="1" applyAlignment="1">
      <alignment horizontal="center" vertical="center" wrapText="1"/>
    </xf>
    <xf numFmtId="176" fontId="12" fillId="16" borderId="11" xfId="0" applyNumberFormat="1" applyFont="1" applyFill="1" applyBorder="1" applyAlignment="1">
      <alignment horizontal="right" vertical="center" wrapText="1"/>
    </xf>
    <xf numFmtId="176" fontId="1" fillId="0" borderId="11" xfId="0" applyNumberFormat="1" applyFont="1" applyBorder="1" applyAlignment="1">
      <alignment horizontal="right" vertical="center" wrapText="1"/>
    </xf>
    <xf numFmtId="176" fontId="1" fillId="0" borderId="23" xfId="0" applyNumberFormat="1" applyFont="1" applyBorder="1" applyAlignment="1">
      <alignment horizontal="left" vertical="center" wrapText="1"/>
    </xf>
    <xf numFmtId="176" fontId="12" fillId="0" borderId="4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right" vertical="center" wrapText="1"/>
    </xf>
    <xf numFmtId="176" fontId="1" fillId="0" borderId="23" xfId="0" applyNumberFormat="1" applyFont="1" applyBorder="1" applyAlignment="1">
      <alignment horizontal="center" vertical="center" wrapText="1"/>
    </xf>
    <xf numFmtId="176" fontId="12" fillId="0" borderId="23" xfId="0" applyNumberFormat="1" applyFont="1" applyBorder="1" applyAlignment="1">
      <alignment horizontal="center" vertical="center" wrapText="1"/>
    </xf>
    <xf numFmtId="176" fontId="5" fillId="0" borderId="23" xfId="0" applyNumberFormat="1" applyFont="1" applyBorder="1" applyAlignment="1">
      <alignment horizontal="left" vertical="center" wrapText="1"/>
    </xf>
    <xf numFmtId="176" fontId="12" fillId="0" borderId="11" xfId="0" applyNumberFormat="1" applyFont="1" applyBorder="1" applyAlignment="1">
      <alignment horizontal="right" vertical="center" wrapText="1"/>
    </xf>
    <xf numFmtId="176" fontId="1" fillId="19" borderId="4" xfId="0" applyNumberFormat="1" applyFont="1" applyFill="1" applyBorder="1" applyAlignment="1">
      <alignment horizontal="right" vertical="center" wrapText="1"/>
    </xf>
    <xf numFmtId="176" fontId="1" fillId="2" borderId="23" xfId="0" applyNumberFormat="1" applyFont="1" applyFill="1" applyBorder="1" applyAlignment="1">
      <alignment horizontal="left" vertical="center" wrapText="1"/>
    </xf>
    <xf numFmtId="176" fontId="5" fillId="0" borderId="4" xfId="0" applyNumberFormat="1" applyFont="1" applyBorder="1" applyAlignment="1">
      <alignment horizontal="right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 wrapText="1"/>
    </xf>
    <xf numFmtId="176" fontId="1" fillId="0" borderId="9" xfId="0" applyNumberFormat="1" applyFont="1" applyBorder="1" applyAlignment="1">
      <alignment horizontal="right" vertical="center" wrapText="1"/>
    </xf>
    <xf numFmtId="0" fontId="1" fillId="0" borderId="23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176" fontId="12" fillId="20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6" fontId="1" fillId="21" borderId="18" xfId="0" applyNumberFormat="1" applyFont="1" applyFill="1" applyBorder="1" applyAlignment="1">
      <alignment horizontal="right" vertical="center" wrapText="1"/>
    </xf>
    <xf numFmtId="178" fontId="1" fillId="0" borderId="22" xfId="0" applyNumberFormat="1" applyFont="1" applyBorder="1" applyAlignment="1">
      <alignment horizontal="right" vertical="center" wrapText="1"/>
    </xf>
    <xf numFmtId="176" fontId="1" fillId="0" borderId="0" xfId="0" applyNumberFormat="1" applyFont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9" fontId="1" fillId="0" borderId="4" xfId="0" applyNumberFormat="1" applyFont="1" applyBorder="1" applyAlignment="1">
      <alignment horizontal="right" vertical="center" wrapText="1"/>
    </xf>
    <xf numFmtId="180" fontId="1" fillId="0" borderId="4" xfId="0" applyNumberFormat="1" applyFont="1" applyBorder="1" applyAlignment="1">
      <alignment horizontal="right" vertical="center" wrapText="1"/>
    </xf>
    <xf numFmtId="181" fontId="1" fillId="16" borderId="4" xfId="0" applyNumberFormat="1" applyFont="1" applyFill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182" fontId="1" fillId="0" borderId="4" xfId="0" applyNumberFormat="1" applyFont="1" applyBorder="1" applyAlignment="1">
      <alignment horizontal="right" vertical="center" wrapText="1"/>
    </xf>
    <xf numFmtId="183" fontId="1" fillId="16" borderId="4" xfId="0" applyNumberFormat="1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2</xdr:row>
      <xdr:rowOff>0</xdr:rowOff>
    </xdr:from>
    <xdr:ext cx="3886023" cy="531680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5763260" y="400050"/>
          <a:ext cx="3885565" cy="53162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59"/>
  <sheetViews>
    <sheetView zoomScale="70" zoomScaleNormal="70" workbookViewId="0">
      <pane xSplit="7" ySplit="2" topLeftCell="J36" activePane="bottomRight" state="frozen"/>
      <selection/>
      <selection pane="topRight"/>
      <selection pane="bottomLeft"/>
      <selection pane="bottomRight" activeCell="E47" sqref="E47"/>
    </sheetView>
  </sheetViews>
  <sheetFormatPr defaultColWidth="8.90833333333333" defaultRowHeight="39.9" customHeight="1"/>
  <cols>
    <col min="1" max="1" width="5.63333333333333" style="75" customWidth="1"/>
    <col min="2" max="2" width="23" style="75" customWidth="1"/>
    <col min="3" max="3" width="25.9083333333333" style="76" customWidth="1"/>
    <col min="4" max="4" width="52.6333333333333" style="76" customWidth="1"/>
    <col min="5" max="5" width="8.36666666666667" style="76" customWidth="1"/>
    <col min="6" max="6" width="7.36666666666667" style="76" customWidth="1"/>
    <col min="7" max="7" width="28.0916666666667" style="76" customWidth="1"/>
    <col min="8" max="8" width="12.45" style="76" customWidth="1"/>
    <col min="9" max="9" width="12.6333333333333" style="18" customWidth="1"/>
    <col min="10" max="11" width="13.6333333333333" style="77" customWidth="1"/>
    <col min="12" max="12" width="20.6333333333333" style="78" customWidth="1"/>
    <col min="13" max="13" width="20.6333333333333" style="75" customWidth="1"/>
    <col min="14" max="25" width="8.90833333333333" style="75"/>
    <col min="26" max="35" width="8.90833333333333" style="79"/>
  </cols>
  <sheetData>
    <row r="1" customHeight="1" spans="1:12">
      <c r="A1" s="80" t="s">
        <v>0</v>
      </c>
      <c r="B1" s="81"/>
      <c r="C1" s="81"/>
      <c r="D1" s="81"/>
      <c r="E1" s="81"/>
      <c r="F1" s="81"/>
      <c r="G1" s="81"/>
      <c r="H1" s="81"/>
      <c r="I1" s="102" t="s">
        <v>1</v>
      </c>
      <c r="J1" s="102"/>
      <c r="K1" s="102"/>
      <c r="L1" s="103"/>
    </row>
    <row r="2" ht="44.4" customHeight="1" spans="1:13">
      <c r="A2" s="82" t="s">
        <v>2</v>
      </c>
      <c r="B2" s="83" t="s">
        <v>3</v>
      </c>
      <c r="C2" s="83" t="s">
        <v>4</v>
      </c>
      <c r="D2" s="83" t="s">
        <v>5</v>
      </c>
      <c r="E2" s="83" t="s">
        <v>6</v>
      </c>
      <c r="F2" s="83" t="s">
        <v>7</v>
      </c>
      <c r="G2" s="83" t="s">
        <v>8</v>
      </c>
      <c r="H2" s="83" t="s">
        <v>9</v>
      </c>
      <c r="I2" s="83" t="s">
        <v>10</v>
      </c>
      <c r="J2" s="83" t="s">
        <v>11</v>
      </c>
      <c r="K2" s="83" t="s">
        <v>12</v>
      </c>
      <c r="L2" s="104" t="s">
        <v>9</v>
      </c>
      <c r="M2" s="75" t="s">
        <v>13</v>
      </c>
    </row>
    <row r="3" ht="51" customHeight="1" spans="1:13">
      <c r="A3" s="84">
        <f t="shared" ref="A3:A44" si="0">ROW()-2</f>
        <v>1</v>
      </c>
      <c r="B3" s="85" t="s">
        <v>14</v>
      </c>
      <c r="C3" s="85" t="s">
        <v>15</v>
      </c>
      <c r="D3" s="86" t="s">
        <v>16</v>
      </c>
      <c r="E3" s="85">
        <v>1</v>
      </c>
      <c r="F3" s="85" t="s">
        <v>17</v>
      </c>
      <c r="G3" s="85" t="s">
        <v>18</v>
      </c>
      <c r="H3" s="85" t="s">
        <v>19</v>
      </c>
      <c r="I3" s="105">
        <v>36000</v>
      </c>
      <c r="J3" s="106"/>
      <c r="K3" s="107">
        <f t="shared" ref="K3:K14" si="1">I3*E3+J3</f>
        <v>36000</v>
      </c>
      <c r="L3" s="108"/>
      <c r="M3" s="75" t="s">
        <v>20</v>
      </c>
    </row>
    <row r="4" ht="54" customHeight="1" spans="1:13">
      <c r="A4" s="87">
        <f t="shared" si="0"/>
        <v>2</v>
      </c>
      <c r="B4" s="88"/>
      <c r="C4" s="89" t="s">
        <v>15</v>
      </c>
      <c r="D4" s="86" t="s">
        <v>21</v>
      </c>
      <c r="E4" s="89">
        <v>1</v>
      </c>
      <c r="F4" s="89" t="s">
        <v>17</v>
      </c>
      <c r="G4" s="89" t="s">
        <v>18</v>
      </c>
      <c r="H4" s="89" t="s">
        <v>19</v>
      </c>
      <c r="I4" s="109">
        <v>36000</v>
      </c>
      <c r="J4" s="110"/>
      <c r="K4" s="111">
        <f t="shared" si="1"/>
        <v>36000</v>
      </c>
      <c r="L4" s="112"/>
      <c r="M4" s="75" t="s">
        <v>20</v>
      </c>
    </row>
    <row r="5" customHeight="1" spans="1:13">
      <c r="A5" s="87">
        <f t="shared" si="0"/>
        <v>3</v>
      </c>
      <c r="B5" s="88"/>
      <c r="C5" s="90" t="s">
        <v>22</v>
      </c>
      <c r="D5" s="86" t="s">
        <v>23</v>
      </c>
      <c r="E5" s="89">
        <v>1</v>
      </c>
      <c r="F5" s="89" t="s">
        <v>17</v>
      </c>
      <c r="G5" s="89" t="s">
        <v>24</v>
      </c>
      <c r="H5" s="89" t="s">
        <v>19</v>
      </c>
      <c r="I5" s="109">
        <v>35000</v>
      </c>
      <c r="J5" s="110"/>
      <c r="K5" s="111">
        <f t="shared" si="1"/>
        <v>35000</v>
      </c>
      <c r="L5" s="112"/>
      <c r="M5" s="75" t="s">
        <v>20</v>
      </c>
    </row>
    <row r="6" ht="52.5" customHeight="1" spans="1:13">
      <c r="A6" s="87">
        <f t="shared" si="0"/>
        <v>4</v>
      </c>
      <c r="B6" s="88"/>
      <c r="C6" s="90" t="s">
        <v>25</v>
      </c>
      <c r="D6" s="86" t="s">
        <v>26</v>
      </c>
      <c r="E6" s="88">
        <v>1</v>
      </c>
      <c r="F6" s="88" t="s">
        <v>17</v>
      </c>
      <c r="G6" s="88" t="s">
        <v>27</v>
      </c>
      <c r="H6" s="88" t="s">
        <v>19</v>
      </c>
      <c r="I6" s="113">
        <v>165000</v>
      </c>
      <c r="J6" s="110"/>
      <c r="K6" s="114">
        <f t="shared" si="1"/>
        <v>165000</v>
      </c>
      <c r="L6" s="115" t="s">
        <v>28</v>
      </c>
      <c r="M6" s="75" t="s">
        <v>20</v>
      </c>
    </row>
    <row r="7" ht="59.25" customHeight="1" spans="1:13">
      <c r="A7" s="87">
        <f t="shared" si="0"/>
        <v>5</v>
      </c>
      <c r="B7" s="88"/>
      <c r="C7" s="88" t="s">
        <v>29</v>
      </c>
      <c r="D7" s="86" t="s">
        <v>30</v>
      </c>
      <c r="E7" s="88">
        <v>1</v>
      </c>
      <c r="F7" s="88" t="s">
        <v>17</v>
      </c>
      <c r="G7" s="88" t="s">
        <v>27</v>
      </c>
      <c r="H7" s="88" t="s">
        <v>19</v>
      </c>
      <c r="I7" s="113">
        <v>150000</v>
      </c>
      <c r="J7" s="110"/>
      <c r="K7" s="114">
        <f t="shared" si="1"/>
        <v>150000</v>
      </c>
      <c r="L7" s="116" t="s">
        <v>31</v>
      </c>
      <c r="M7" s="75" t="s">
        <v>20</v>
      </c>
    </row>
    <row r="8" ht="59.25" customHeight="1" spans="1:13">
      <c r="A8" s="87">
        <f t="shared" si="0"/>
        <v>6</v>
      </c>
      <c r="B8" s="88"/>
      <c r="C8" s="88" t="s">
        <v>32</v>
      </c>
      <c r="D8" s="86" t="s">
        <v>33</v>
      </c>
      <c r="E8" s="88">
        <v>1</v>
      </c>
      <c r="F8" s="88" t="s">
        <v>17</v>
      </c>
      <c r="G8" s="88" t="s">
        <v>27</v>
      </c>
      <c r="H8" s="88" t="s">
        <v>19</v>
      </c>
      <c r="I8" s="113">
        <v>150000</v>
      </c>
      <c r="J8" s="110"/>
      <c r="K8" s="114">
        <f t="shared" si="1"/>
        <v>150000</v>
      </c>
      <c r="L8" s="116" t="s">
        <v>31</v>
      </c>
      <c r="M8" s="75" t="s">
        <v>20</v>
      </c>
    </row>
    <row r="9" customHeight="1" spans="1:13">
      <c r="A9" s="87">
        <f t="shared" si="0"/>
        <v>7</v>
      </c>
      <c r="B9" s="88"/>
      <c r="C9" s="88" t="s">
        <v>34</v>
      </c>
      <c r="D9" s="86" t="s">
        <v>35</v>
      </c>
      <c r="E9" s="88">
        <v>1</v>
      </c>
      <c r="F9" s="88" t="s">
        <v>17</v>
      </c>
      <c r="G9" s="88" t="s">
        <v>36</v>
      </c>
      <c r="H9" s="88" t="s">
        <v>19</v>
      </c>
      <c r="I9" s="113">
        <v>75000</v>
      </c>
      <c r="J9" s="110"/>
      <c r="K9" s="114">
        <f t="shared" si="1"/>
        <v>75000</v>
      </c>
      <c r="L9" s="117"/>
      <c r="M9" s="75" t="s">
        <v>20</v>
      </c>
    </row>
    <row r="10" customHeight="1" spans="1:13">
      <c r="A10" s="87">
        <f t="shared" si="0"/>
        <v>8</v>
      </c>
      <c r="B10" s="88"/>
      <c r="C10" s="88" t="s">
        <v>37</v>
      </c>
      <c r="D10" s="86" t="s">
        <v>38</v>
      </c>
      <c r="E10" s="88">
        <v>1</v>
      </c>
      <c r="F10" s="88" t="s">
        <v>17</v>
      </c>
      <c r="G10" s="88" t="s">
        <v>39</v>
      </c>
      <c r="H10" s="88" t="s">
        <v>19</v>
      </c>
      <c r="I10" s="113">
        <v>68000</v>
      </c>
      <c r="J10" s="110"/>
      <c r="K10" s="114">
        <f t="shared" si="1"/>
        <v>68000</v>
      </c>
      <c r="L10" s="117"/>
      <c r="M10" s="75" t="s">
        <v>20</v>
      </c>
    </row>
    <row r="11" customHeight="1" spans="1:13">
      <c r="A11" s="87">
        <f t="shared" si="0"/>
        <v>9</v>
      </c>
      <c r="B11" s="88"/>
      <c r="C11" s="88" t="s">
        <v>40</v>
      </c>
      <c r="D11" s="86" t="s">
        <v>41</v>
      </c>
      <c r="E11" s="88">
        <v>1</v>
      </c>
      <c r="F11" s="88" t="s">
        <v>17</v>
      </c>
      <c r="G11" s="88" t="s">
        <v>42</v>
      </c>
      <c r="H11" s="88" t="s">
        <v>19</v>
      </c>
      <c r="I11" s="113">
        <v>25000</v>
      </c>
      <c r="J11" s="110"/>
      <c r="K11" s="114">
        <f t="shared" si="1"/>
        <v>25000</v>
      </c>
      <c r="L11" s="117"/>
      <c r="M11" s="75" t="s">
        <v>20</v>
      </c>
    </row>
    <row r="12" ht="55.5" customHeight="1" spans="1:13">
      <c r="A12" s="87">
        <f t="shared" si="0"/>
        <v>10</v>
      </c>
      <c r="B12" s="88"/>
      <c r="C12" s="89" t="s">
        <v>43</v>
      </c>
      <c r="D12" s="86" t="s">
        <v>16</v>
      </c>
      <c r="E12" s="89">
        <v>1</v>
      </c>
      <c r="F12" s="89" t="s">
        <v>17</v>
      </c>
      <c r="G12" s="89" t="s">
        <v>44</v>
      </c>
      <c r="H12" s="89" t="s">
        <v>19</v>
      </c>
      <c r="I12" s="109">
        <v>36000</v>
      </c>
      <c r="J12" s="110"/>
      <c r="K12" s="111">
        <f t="shared" si="1"/>
        <v>36000</v>
      </c>
      <c r="L12" s="117"/>
      <c r="M12" s="75" t="s">
        <v>20</v>
      </c>
    </row>
    <row r="13" ht="55.5" customHeight="1" spans="1:13">
      <c r="A13" s="87">
        <f t="shared" si="0"/>
        <v>11</v>
      </c>
      <c r="B13" s="88"/>
      <c r="C13" s="89" t="s">
        <v>45</v>
      </c>
      <c r="D13" s="86"/>
      <c r="E13" s="89">
        <v>1</v>
      </c>
      <c r="F13" s="89" t="s">
        <v>46</v>
      </c>
      <c r="G13" s="89" t="s">
        <v>47</v>
      </c>
      <c r="H13" s="89"/>
      <c r="I13" s="109">
        <v>170000</v>
      </c>
      <c r="J13" s="118"/>
      <c r="K13" s="111">
        <f t="shared" si="1"/>
        <v>170000</v>
      </c>
      <c r="L13" s="117"/>
      <c r="M13" s="75" t="s">
        <v>20</v>
      </c>
    </row>
    <row r="14" ht="55.5" customHeight="1" spans="1:13">
      <c r="A14" s="87">
        <f t="shared" si="0"/>
        <v>12</v>
      </c>
      <c r="B14" s="88"/>
      <c r="C14" s="89" t="s">
        <v>48</v>
      </c>
      <c r="D14" s="86"/>
      <c r="E14" s="89">
        <v>1</v>
      </c>
      <c r="F14" s="89" t="s">
        <v>46</v>
      </c>
      <c r="G14" s="89" t="s">
        <v>49</v>
      </c>
      <c r="H14" s="89"/>
      <c r="I14" s="95">
        <v>50000</v>
      </c>
      <c r="J14" s="118"/>
      <c r="K14" s="111">
        <f t="shared" si="1"/>
        <v>50000</v>
      </c>
      <c r="L14" s="117"/>
      <c r="M14" s="75" t="s">
        <v>20</v>
      </c>
    </row>
    <row r="15" customHeight="1" spans="1:12">
      <c r="A15" s="87">
        <f t="shared" si="0"/>
        <v>13</v>
      </c>
      <c r="B15" s="88"/>
      <c r="C15" s="91" t="s">
        <v>50</v>
      </c>
      <c r="D15" s="91"/>
      <c r="E15" s="91"/>
      <c r="F15" s="91"/>
      <c r="G15" s="91"/>
      <c r="H15" s="91"/>
      <c r="I15" s="91"/>
      <c r="J15" s="114">
        <f>SUM(J3:J14)</f>
        <v>0</v>
      </c>
      <c r="K15" s="119">
        <f>SUM(K3:K14)</f>
        <v>996000</v>
      </c>
      <c r="L15" s="120"/>
    </row>
    <row r="16" ht="50.1" customHeight="1" spans="1:13">
      <c r="A16" s="87">
        <f t="shared" si="0"/>
        <v>14</v>
      </c>
      <c r="B16" s="88" t="s">
        <v>51</v>
      </c>
      <c r="C16" s="88" t="s">
        <v>52</v>
      </c>
      <c r="D16" s="86" t="s">
        <v>53</v>
      </c>
      <c r="E16" s="92">
        <v>2</v>
      </c>
      <c r="F16" s="88" t="s">
        <v>17</v>
      </c>
      <c r="G16" s="88" t="s">
        <v>54</v>
      </c>
      <c r="H16" s="89" t="s">
        <v>19</v>
      </c>
      <c r="I16" s="113">
        <v>80000</v>
      </c>
      <c r="J16" s="121">
        <v>0</v>
      </c>
      <c r="K16" s="114">
        <f>I16*E16+J16</f>
        <v>160000</v>
      </c>
      <c r="L16" s="112" t="s">
        <v>55</v>
      </c>
      <c r="M16" s="75" t="s">
        <v>20</v>
      </c>
    </row>
    <row r="17" ht="50.1" customHeight="1" spans="1:13">
      <c r="A17" s="87">
        <f t="shared" si="0"/>
        <v>15</v>
      </c>
      <c r="B17" s="88"/>
      <c r="C17" s="88" t="s">
        <v>52</v>
      </c>
      <c r="D17" s="86" t="s">
        <v>56</v>
      </c>
      <c r="E17" s="92">
        <v>1</v>
      </c>
      <c r="F17" s="88" t="s">
        <v>17</v>
      </c>
      <c r="G17" s="88" t="s">
        <v>57</v>
      </c>
      <c r="H17" s="89" t="s">
        <v>19</v>
      </c>
      <c r="I17" s="113">
        <v>100000</v>
      </c>
      <c r="J17" s="121">
        <v>0</v>
      </c>
      <c r="K17" s="114">
        <f>I17*E17+J17</f>
        <v>100000</v>
      </c>
      <c r="L17" s="112" t="s">
        <v>55</v>
      </c>
      <c r="M17" s="75" t="s">
        <v>20</v>
      </c>
    </row>
    <row r="18" customHeight="1" spans="1:12">
      <c r="A18" s="87">
        <f t="shared" si="0"/>
        <v>16</v>
      </c>
      <c r="B18" s="88"/>
      <c r="C18" s="91" t="s">
        <v>50</v>
      </c>
      <c r="D18" s="91"/>
      <c r="E18" s="91"/>
      <c r="F18" s="91"/>
      <c r="G18" s="91"/>
      <c r="H18" s="91"/>
      <c r="I18" s="91"/>
      <c r="J18" s="114">
        <f>SUM(J16:J16)</f>
        <v>0</v>
      </c>
      <c r="K18" s="119">
        <f>SUM(K16:K17)</f>
        <v>260000</v>
      </c>
      <c r="L18" s="120"/>
    </row>
    <row r="19" s="18" customFormat="1" customHeight="1" spans="1:13">
      <c r="A19" s="87">
        <f t="shared" si="0"/>
        <v>17</v>
      </c>
      <c r="B19" s="93" t="s">
        <v>58</v>
      </c>
      <c r="C19" s="88" t="s">
        <v>59</v>
      </c>
      <c r="D19" s="86" t="s">
        <v>60</v>
      </c>
      <c r="E19" s="88">
        <v>2</v>
      </c>
      <c r="F19" s="88" t="s">
        <v>17</v>
      </c>
      <c r="G19" s="88" t="s">
        <v>61</v>
      </c>
      <c r="H19" s="88" t="s">
        <v>62</v>
      </c>
      <c r="I19" s="113">
        <v>75000</v>
      </c>
      <c r="J19" s="121">
        <v>0</v>
      </c>
      <c r="K19" s="114">
        <f t="shared" ref="K19:K28" si="2">I19*E19+J19</f>
        <v>150000</v>
      </c>
      <c r="L19" s="112" t="s">
        <v>63</v>
      </c>
      <c r="M19" s="75" t="s">
        <v>20</v>
      </c>
    </row>
    <row r="20" s="18" customFormat="1" ht="54.75" customHeight="1" spans="1:13">
      <c r="A20" s="87">
        <f t="shared" si="0"/>
        <v>18</v>
      </c>
      <c r="B20" s="94"/>
      <c r="C20" s="88" t="s">
        <v>64</v>
      </c>
      <c r="D20" s="86" t="s">
        <v>65</v>
      </c>
      <c r="E20" s="88">
        <v>1</v>
      </c>
      <c r="F20" s="88" t="s">
        <v>17</v>
      </c>
      <c r="G20" s="88" t="s">
        <v>61</v>
      </c>
      <c r="H20" s="88" t="s">
        <v>66</v>
      </c>
      <c r="I20" s="122">
        <v>55000</v>
      </c>
      <c r="J20" s="121">
        <v>0</v>
      </c>
      <c r="K20" s="114">
        <f t="shared" si="2"/>
        <v>55000</v>
      </c>
      <c r="L20" s="112" t="s">
        <v>63</v>
      </c>
      <c r="M20" s="75" t="s">
        <v>20</v>
      </c>
    </row>
    <row r="21" s="18" customFormat="1" ht="48" customHeight="1" spans="1:13">
      <c r="A21" s="87">
        <f t="shared" si="0"/>
        <v>19</v>
      </c>
      <c r="B21" s="94"/>
      <c r="C21" s="88" t="s">
        <v>64</v>
      </c>
      <c r="D21" s="86" t="s">
        <v>67</v>
      </c>
      <c r="E21" s="88">
        <v>1</v>
      </c>
      <c r="F21" s="88" t="s">
        <v>17</v>
      </c>
      <c r="G21" s="88" t="s">
        <v>61</v>
      </c>
      <c r="H21" s="88" t="s">
        <v>68</v>
      </c>
      <c r="I21" s="122">
        <v>90000</v>
      </c>
      <c r="J21" s="121">
        <v>0</v>
      </c>
      <c r="K21" s="114">
        <f t="shared" si="2"/>
        <v>90000</v>
      </c>
      <c r="L21" s="112" t="s">
        <v>63</v>
      </c>
      <c r="M21" s="75" t="s">
        <v>20</v>
      </c>
    </row>
    <row r="22" s="74" customFormat="1" ht="72" customHeight="1" spans="1:13">
      <c r="A22" s="87">
        <f t="shared" si="0"/>
        <v>20</v>
      </c>
      <c r="B22" s="94"/>
      <c r="C22" s="95" t="s">
        <v>69</v>
      </c>
      <c r="D22" s="86" t="s">
        <v>70</v>
      </c>
      <c r="E22" s="96">
        <v>1</v>
      </c>
      <c r="F22" s="88" t="s">
        <v>17</v>
      </c>
      <c r="G22" s="88" t="s">
        <v>61</v>
      </c>
      <c r="H22" s="88" t="s">
        <v>71</v>
      </c>
      <c r="I22" s="95">
        <v>20000</v>
      </c>
      <c r="J22" s="121">
        <v>0</v>
      </c>
      <c r="K22" s="114">
        <f t="shared" si="2"/>
        <v>20000</v>
      </c>
      <c r="L22" s="112" t="s">
        <v>63</v>
      </c>
      <c r="M22" s="75" t="s">
        <v>20</v>
      </c>
    </row>
    <row r="23" s="18" customFormat="1" customHeight="1" spans="1:13">
      <c r="A23" s="87">
        <f t="shared" si="0"/>
        <v>21</v>
      </c>
      <c r="B23" s="94"/>
      <c r="C23" s="88" t="s">
        <v>72</v>
      </c>
      <c r="D23" s="86" t="s">
        <v>73</v>
      </c>
      <c r="E23" s="96">
        <v>6</v>
      </c>
      <c r="F23" s="88" t="s">
        <v>74</v>
      </c>
      <c r="G23" s="88" t="s">
        <v>75</v>
      </c>
      <c r="H23" s="88" t="s">
        <v>76</v>
      </c>
      <c r="I23" s="122">
        <v>7200</v>
      </c>
      <c r="J23" s="121">
        <v>0</v>
      </c>
      <c r="K23" s="114">
        <f t="shared" si="2"/>
        <v>43200</v>
      </c>
      <c r="L23" s="112" t="s">
        <v>63</v>
      </c>
      <c r="M23" s="75" t="s">
        <v>20</v>
      </c>
    </row>
    <row r="24" s="18" customFormat="1" customHeight="1" spans="1:13">
      <c r="A24" s="87">
        <f t="shared" si="0"/>
        <v>22</v>
      </c>
      <c r="B24" s="94"/>
      <c r="C24" s="88" t="s">
        <v>72</v>
      </c>
      <c r="D24" s="86" t="s">
        <v>77</v>
      </c>
      <c r="E24" s="96">
        <v>13</v>
      </c>
      <c r="F24" s="88" t="s">
        <v>74</v>
      </c>
      <c r="G24" s="88" t="s">
        <v>75</v>
      </c>
      <c r="H24" s="88" t="s">
        <v>78</v>
      </c>
      <c r="I24" s="122">
        <v>7200</v>
      </c>
      <c r="J24" s="121">
        <v>0</v>
      </c>
      <c r="K24" s="114">
        <f t="shared" si="2"/>
        <v>93600</v>
      </c>
      <c r="L24" s="112" t="s">
        <v>63</v>
      </c>
      <c r="M24" s="75" t="s">
        <v>20</v>
      </c>
    </row>
    <row r="25" s="18" customFormat="1" customHeight="1" spans="1:13">
      <c r="A25" s="87">
        <f t="shared" si="0"/>
        <v>23</v>
      </c>
      <c r="B25" s="94"/>
      <c r="C25" s="88" t="s">
        <v>79</v>
      </c>
      <c r="D25" s="86" t="s">
        <v>80</v>
      </c>
      <c r="E25" s="96">
        <v>16</v>
      </c>
      <c r="F25" s="88" t="s">
        <v>74</v>
      </c>
      <c r="G25" s="88" t="s">
        <v>81</v>
      </c>
      <c r="H25" s="89" t="s">
        <v>19</v>
      </c>
      <c r="I25" s="122">
        <v>7000</v>
      </c>
      <c r="J25" s="121">
        <v>0</v>
      </c>
      <c r="K25" s="114">
        <f t="shared" si="2"/>
        <v>112000</v>
      </c>
      <c r="L25" s="112" t="s">
        <v>63</v>
      </c>
      <c r="M25" s="75" t="s">
        <v>20</v>
      </c>
    </row>
    <row r="26" s="18" customFormat="1" ht="50.1" customHeight="1" spans="1:13">
      <c r="A26" s="87">
        <f t="shared" si="0"/>
        <v>24</v>
      </c>
      <c r="B26" s="94"/>
      <c r="C26" s="88" t="s">
        <v>82</v>
      </c>
      <c r="D26" s="86" t="s">
        <v>83</v>
      </c>
      <c r="E26" s="96">
        <v>4</v>
      </c>
      <c r="F26" s="88" t="s">
        <v>74</v>
      </c>
      <c r="G26" s="88" t="s">
        <v>84</v>
      </c>
      <c r="H26" s="89" t="s">
        <v>19</v>
      </c>
      <c r="I26" s="113">
        <v>20000</v>
      </c>
      <c r="J26" s="121">
        <v>0</v>
      </c>
      <c r="K26" s="114">
        <f t="shared" si="2"/>
        <v>80000</v>
      </c>
      <c r="L26" s="112" t="s">
        <v>63</v>
      </c>
      <c r="M26" s="75" t="s">
        <v>20</v>
      </c>
    </row>
    <row r="27" s="18" customFormat="1" ht="44.25" customHeight="1" spans="1:13">
      <c r="A27" s="87">
        <f t="shared" si="0"/>
        <v>25</v>
      </c>
      <c r="B27" s="94"/>
      <c r="C27" s="88" t="s">
        <v>85</v>
      </c>
      <c r="D27" s="86" t="s">
        <v>86</v>
      </c>
      <c r="E27" s="88">
        <v>5</v>
      </c>
      <c r="F27" s="88" t="s">
        <v>17</v>
      </c>
      <c r="G27" s="88" t="s">
        <v>87</v>
      </c>
      <c r="H27" s="89" t="s">
        <v>19</v>
      </c>
      <c r="I27" s="113">
        <v>20000</v>
      </c>
      <c r="J27" s="121">
        <v>0</v>
      </c>
      <c r="K27" s="114">
        <f t="shared" si="2"/>
        <v>100000</v>
      </c>
      <c r="L27" s="112" t="s">
        <v>63</v>
      </c>
      <c r="M27" s="75" t="s">
        <v>20</v>
      </c>
    </row>
    <row r="28" s="18" customFormat="1" ht="48" customHeight="1" spans="1:13">
      <c r="A28" s="87">
        <f t="shared" si="0"/>
        <v>26</v>
      </c>
      <c r="B28" s="94"/>
      <c r="C28" s="88" t="s">
        <v>88</v>
      </c>
      <c r="D28" s="86" t="s">
        <v>89</v>
      </c>
      <c r="E28" s="97">
        <v>12</v>
      </c>
      <c r="F28" s="88" t="s">
        <v>17</v>
      </c>
      <c r="G28" s="88" t="s">
        <v>90</v>
      </c>
      <c r="H28" s="89" t="s">
        <v>19</v>
      </c>
      <c r="I28" s="113">
        <v>8000</v>
      </c>
      <c r="J28" s="121">
        <v>0</v>
      </c>
      <c r="K28" s="114">
        <f t="shared" si="2"/>
        <v>96000</v>
      </c>
      <c r="L28" s="112" t="s">
        <v>63</v>
      </c>
      <c r="M28" s="75" t="s">
        <v>20</v>
      </c>
    </row>
    <row r="29" customHeight="1" spans="1:12">
      <c r="A29" s="87">
        <f t="shared" si="0"/>
        <v>27</v>
      </c>
      <c r="B29" s="89"/>
      <c r="C29" s="91" t="s">
        <v>50</v>
      </c>
      <c r="D29" s="91"/>
      <c r="E29" s="91"/>
      <c r="F29" s="91"/>
      <c r="G29" s="91"/>
      <c r="H29" s="91"/>
      <c r="I29" s="91"/>
      <c r="J29" s="114">
        <f>SUM(J27:J28)</f>
        <v>0</v>
      </c>
      <c r="K29" s="119">
        <f>SUM(K19:K28)</f>
        <v>839800</v>
      </c>
      <c r="L29" s="120"/>
    </row>
    <row r="30" s="18" customFormat="1" ht="50.1" customHeight="1" spans="1:13">
      <c r="A30" s="87">
        <f t="shared" si="0"/>
        <v>28</v>
      </c>
      <c r="B30" s="93" t="s">
        <v>91</v>
      </c>
      <c r="C30" s="88" t="s">
        <v>92</v>
      </c>
      <c r="D30" s="86" t="s">
        <v>93</v>
      </c>
      <c r="E30" s="88">
        <v>1</v>
      </c>
      <c r="F30" s="88" t="s">
        <v>17</v>
      </c>
      <c r="G30" s="88" t="s">
        <v>94</v>
      </c>
      <c r="H30" s="88" t="s">
        <v>95</v>
      </c>
      <c r="I30" s="123">
        <v>340000</v>
      </c>
      <c r="J30" s="124">
        <v>0</v>
      </c>
      <c r="K30" s="125">
        <v>340000</v>
      </c>
      <c r="L30" s="126" t="s">
        <v>96</v>
      </c>
      <c r="M30" s="127"/>
    </row>
    <row r="31" s="18" customFormat="1" ht="50.1" customHeight="1" spans="1:13">
      <c r="A31" s="87">
        <f t="shared" si="0"/>
        <v>29</v>
      </c>
      <c r="B31" s="94"/>
      <c r="C31" s="88"/>
      <c r="D31" s="86" t="s">
        <v>97</v>
      </c>
      <c r="E31" s="88">
        <v>1</v>
      </c>
      <c r="F31" s="88" t="s">
        <v>17</v>
      </c>
      <c r="G31" s="88" t="s">
        <v>98</v>
      </c>
      <c r="H31" s="88" t="s">
        <v>95</v>
      </c>
      <c r="I31" s="123"/>
      <c r="J31" s="124">
        <v>0</v>
      </c>
      <c r="K31" s="111"/>
      <c r="L31" s="126" t="s">
        <v>96</v>
      </c>
      <c r="M31" s="127"/>
    </row>
    <row r="32" s="18" customFormat="1" customHeight="1" spans="1:13">
      <c r="A32" s="87">
        <f t="shared" si="0"/>
        <v>30</v>
      </c>
      <c r="B32" s="89"/>
      <c r="C32" s="91" t="s">
        <v>50</v>
      </c>
      <c r="D32" s="91"/>
      <c r="E32" s="91"/>
      <c r="F32" s="91"/>
      <c r="G32" s="91"/>
      <c r="H32" s="91"/>
      <c r="I32" s="91"/>
      <c r="J32" s="114">
        <f>SUM(J27:J31)</f>
        <v>0</v>
      </c>
      <c r="K32" s="119">
        <f>SUM(K30:K31)</f>
        <v>340000</v>
      </c>
      <c r="L32" s="120"/>
      <c r="M32" s="75"/>
    </row>
    <row r="33" s="18" customFormat="1" ht="81.75" customHeight="1" spans="1:13">
      <c r="A33" s="87">
        <f t="shared" si="0"/>
        <v>31</v>
      </c>
      <c r="B33" s="88" t="s">
        <v>99</v>
      </c>
      <c r="C33" s="88" t="s">
        <v>99</v>
      </c>
      <c r="D33" s="86" t="s">
        <v>100</v>
      </c>
      <c r="E33" s="92">
        <v>1</v>
      </c>
      <c r="F33" s="88" t="s">
        <v>46</v>
      </c>
      <c r="G33" s="89" t="s">
        <v>19</v>
      </c>
      <c r="H33" s="89" t="s">
        <v>19</v>
      </c>
      <c r="I33" s="128">
        <v>350000</v>
      </c>
      <c r="J33" s="114">
        <v>0</v>
      </c>
      <c r="K33" s="114">
        <f>I33*E33+J33</f>
        <v>350000</v>
      </c>
      <c r="L33" s="112" t="s">
        <v>101</v>
      </c>
      <c r="M33" s="75" t="s">
        <v>102</v>
      </c>
    </row>
    <row r="34" s="18" customFormat="1" ht="54.75" customHeight="1" spans="1:13">
      <c r="A34" s="87">
        <f t="shared" si="0"/>
        <v>32</v>
      </c>
      <c r="B34" s="88"/>
      <c r="C34" s="88" t="s">
        <v>103</v>
      </c>
      <c r="D34" s="86" t="s">
        <v>104</v>
      </c>
      <c r="E34" s="92">
        <v>1</v>
      </c>
      <c r="F34" s="88" t="s">
        <v>46</v>
      </c>
      <c r="G34" s="89" t="s">
        <v>19</v>
      </c>
      <c r="H34" s="89" t="s">
        <v>19</v>
      </c>
      <c r="I34" s="128">
        <v>200818</v>
      </c>
      <c r="J34" s="129">
        <v>0</v>
      </c>
      <c r="K34" s="114">
        <v>200818</v>
      </c>
      <c r="L34" s="126" t="s">
        <v>105</v>
      </c>
      <c r="M34" s="127"/>
    </row>
    <row r="35" customHeight="1" spans="1:12">
      <c r="A35" s="87">
        <f t="shared" si="0"/>
        <v>33</v>
      </c>
      <c r="B35" s="88"/>
      <c r="C35" s="91" t="s">
        <v>50</v>
      </c>
      <c r="D35" s="91"/>
      <c r="E35" s="91"/>
      <c r="F35" s="91"/>
      <c r="G35" s="91"/>
      <c r="H35" s="91"/>
      <c r="I35" s="91"/>
      <c r="J35" s="114">
        <f>SUM(J27:J33)</f>
        <v>0</v>
      </c>
      <c r="K35" s="119">
        <f>SUM(K33:K34)</f>
        <v>550818</v>
      </c>
      <c r="L35" s="120"/>
    </row>
    <row r="36" s="18" customFormat="1" ht="55.5" customHeight="1" spans="1:13">
      <c r="A36" s="87">
        <f t="shared" si="0"/>
        <v>34</v>
      </c>
      <c r="B36" s="88" t="s">
        <v>106</v>
      </c>
      <c r="C36" s="88" t="s">
        <v>107</v>
      </c>
      <c r="D36" s="86" t="s">
        <v>108</v>
      </c>
      <c r="E36" s="88">
        <v>1</v>
      </c>
      <c r="F36" s="88" t="s">
        <v>46</v>
      </c>
      <c r="G36" s="89" t="s">
        <v>19</v>
      </c>
      <c r="H36" s="89" t="s">
        <v>19</v>
      </c>
      <c r="I36" s="130">
        <v>0</v>
      </c>
      <c r="J36" s="128">
        <v>270000</v>
      </c>
      <c r="K36" s="114">
        <f>I36*E36+J36</f>
        <v>270000</v>
      </c>
      <c r="L36" s="112" t="s">
        <v>63</v>
      </c>
      <c r="M36" s="75" t="s">
        <v>109</v>
      </c>
    </row>
    <row r="37" s="18" customFormat="1" ht="49.5" customHeight="1" spans="1:13">
      <c r="A37" s="87">
        <f t="shared" si="0"/>
        <v>35</v>
      </c>
      <c r="B37" s="88"/>
      <c r="C37" s="88" t="s">
        <v>110</v>
      </c>
      <c r="D37" s="86" t="s">
        <v>111</v>
      </c>
      <c r="E37" s="88">
        <v>1</v>
      </c>
      <c r="F37" s="88" t="s">
        <v>46</v>
      </c>
      <c r="G37" s="89" t="s">
        <v>19</v>
      </c>
      <c r="H37" s="89" t="s">
        <v>19</v>
      </c>
      <c r="I37" s="130">
        <v>0</v>
      </c>
      <c r="J37" s="128">
        <v>60000</v>
      </c>
      <c r="K37" s="114">
        <f>I37*E37+J37</f>
        <v>60000</v>
      </c>
      <c r="L37" s="112"/>
      <c r="M37" s="75" t="s">
        <v>109</v>
      </c>
    </row>
    <row r="38" s="18" customFormat="1" customHeight="1" spans="1:13">
      <c r="A38" s="87">
        <f t="shared" si="0"/>
        <v>36</v>
      </c>
      <c r="B38" s="88"/>
      <c r="C38" s="88" t="s">
        <v>112</v>
      </c>
      <c r="D38" s="86" t="s">
        <v>113</v>
      </c>
      <c r="E38" s="88">
        <v>1</v>
      </c>
      <c r="F38" s="88" t="s">
        <v>46</v>
      </c>
      <c r="G38" s="89" t="s">
        <v>19</v>
      </c>
      <c r="H38" s="89" t="s">
        <v>19</v>
      </c>
      <c r="I38" s="130"/>
      <c r="J38" s="114">
        <v>0</v>
      </c>
      <c r="K38" s="114">
        <f>(K36+K37)*6%</f>
        <v>19800</v>
      </c>
      <c r="L38" s="112"/>
      <c r="M38" s="75"/>
    </row>
    <row r="39" s="18" customFormat="1" customHeight="1" spans="1:13">
      <c r="A39" s="87">
        <f t="shared" si="0"/>
        <v>37</v>
      </c>
      <c r="B39" s="88"/>
      <c r="C39" s="91"/>
      <c r="D39" s="91"/>
      <c r="E39" s="91"/>
      <c r="F39" s="91"/>
      <c r="G39" s="91"/>
      <c r="H39" s="91"/>
      <c r="I39" s="131"/>
      <c r="J39" s="114">
        <v>0</v>
      </c>
      <c r="K39" s="119">
        <f>SUM(K36:K38)</f>
        <v>349800</v>
      </c>
      <c r="L39" s="120"/>
      <c r="M39" s="75"/>
    </row>
    <row r="40" s="18" customFormat="1" customHeight="1" spans="1:13">
      <c r="A40" s="87">
        <f t="shared" si="0"/>
        <v>38</v>
      </c>
      <c r="B40" s="88" t="s">
        <v>114</v>
      </c>
      <c r="C40" s="88" t="s">
        <v>115</v>
      </c>
      <c r="D40" s="86" t="s">
        <v>116</v>
      </c>
      <c r="E40" s="88">
        <v>1</v>
      </c>
      <c r="F40" s="88" t="s">
        <v>46</v>
      </c>
      <c r="G40" s="89" t="s">
        <v>19</v>
      </c>
      <c r="H40" s="89" t="s">
        <v>19</v>
      </c>
      <c r="I40" s="130">
        <v>0</v>
      </c>
      <c r="J40" s="114">
        <v>0</v>
      </c>
      <c r="K40" s="114">
        <f>I40*E40+J40</f>
        <v>0</v>
      </c>
      <c r="L40" s="112"/>
      <c r="M40" s="75" t="s">
        <v>117</v>
      </c>
    </row>
    <row r="41" s="18" customFormat="1" customHeight="1" spans="1:13">
      <c r="A41" s="87">
        <f t="shared" si="0"/>
        <v>39</v>
      </c>
      <c r="B41" s="88"/>
      <c r="C41" s="88" t="s">
        <v>118</v>
      </c>
      <c r="D41" s="86" t="s">
        <v>119</v>
      </c>
      <c r="E41" s="88">
        <v>1</v>
      </c>
      <c r="F41" s="88" t="s">
        <v>46</v>
      </c>
      <c r="G41" s="89" t="s">
        <v>19</v>
      </c>
      <c r="H41" s="89" t="s">
        <v>19</v>
      </c>
      <c r="I41" s="122">
        <v>100000</v>
      </c>
      <c r="J41" s="114">
        <v>0</v>
      </c>
      <c r="K41" s="114">
        <f>I41*E41+J41</f>
        <v>100000</v>
      </c>
      <c r="L41" s="112"/>
      <c r="M41" s="75" t="s">
        <v>120</v>
      </c>
    </row>
    <row r="42" s="18" customFormat="1" customHeight="1" spans="1:13">
      <c r="A42" s="87">
        <f t="shared" si="0"/>
        <v>40</v>
      </c>
      <c r="B42" s="88"/>
      <c r="C42" s="88" t="s">
        <v>121</v>
      </c>
      <c r="D42" s="86" t="s">
        <v>122</v>
      </c>
      <c r="E42" s="88">
        <v>1</v>
      </c>
      <c r="F42" s="88" t="s">
        <v>46</v>
      </c>
      <c r="G42" s="89" t="s">
        <v>19</v>
      </c>
      <c r="H42" s="89" t="s">
        <v>19</v>
      </c>
      <c r="I42" s="130">
        <v>0</v>
      </c>
      <c r="J42" s="114">
        <v>0</v>
      </c>
      <c r="K42" s="114">
        <f>I42*E42+J42</f>
        <v>0</v>
      </c>
      <c r="L42" s="112"/>
      <c r="M42" s="75"/>
    </row>
    <row r="43" s="18" customFormat="1" customHeight="1" spans="1:13">
      <c r="A43" s="87">
        <f t="shared" si="0"/>
        <v>41</v>
      </c>
      <c r="B43" s="88"/>
      <c r="C43" s="91"/>
      <c r="D43" s="91"/>
      <c r="E43" s="91"/>
      <c r="F43" s="91"/>
      <c r="G43" s="91"/>
      <c r="H43" s="91"/>
      <c r="I43" s="131"/>
      <c r="J43" s="114">
        <v>0</v>
      </c>
      <c r="K43" s="119">
        <f>SUM(K40:K42)</f>
        <v>100000</v>
      </c>
      <c r="L43" s="120"/>
      <c r="M43" s="75"/>
    </row>
    <row r="44" s="18" customFormat="1" customHeight="1" spans="1:13">
      <c r="A44" s="98">
        <f t="shared" si="0"/>
        <v>42</v>
      </c>
      <c r="B44" s="99" t="s">
        <v>123</v>
      </c>
      <c r="C44" s="99"/>
      <c r="D44" s="99"/>
      <c r="E44" s="99"/>
      <c r="F44" s="99"/>
      <c r="G44" s="99"/>
      <c r="H44" s="99"/>
      <c r="I44" s="99"/>
      <c r="J44" s="99"/>
      <c r="K44" s="132">
        <f>K15+K18+K29+K35+K32+K39+K43</f>
        <v>3436418</v>
      </c>
      <c r="L44" s="133">
        <f>(K44-K32)/$L$47</f>
        <v>321538.733125649</v>
      </c>
      <c r="M44" s="134"/>
    </row>
    <row r="45" s="18" customFormat="1" customHeight="1"/>
    <row r="46" s="18" customFormat="1" customHeight="1" spans="2:12">
      <c r="B46" s="100"/>
      <c r="C46" s="100"/>
      <c r="D46" s="100"/>
      <c r="E46" s="100"/>
      <c r="F46" s="100"/>
      <c r="G46" s="100"/>
      <c r="H46" s="100"/>
      <c r="I46" s="135" t="s">
        <v>124</v>
      </c>
      <c r="J46" s="136">
        <f>ROUNDUP(K44/10000,2)</f>
        <v>343.65</v>
      </c>
      <c r="K46" s="137">
        <f>ROUNDUP(K44/L46/1000000,2)</f>
        <v>0.48</v>
      </c>
      <c r="L46" s="138">
        <v>7.26</v>
      </c>
    </row>
    <row r="47" s="18" customFormat="1" customHeight="1" spans="7:12">
      <c r="G47" s="101"/>
      <c r="I47" s="139" t="s">
        <v>125</v>
      </c>
      <c r="J47" s="136">
        <v>201.07</v>
      </c>
      <c r="K47" s="140">
        <v>0.21</v>
      </c>
      <c r="L47" s="141">
        <v>9.63</v>
      </c>
    </row>
    <row r="48" s="18" customFormat="1" customHeight="1" spans="10:12">
      <c r="J48" s="77"/>
      <c r="K48" s="77"/>
      <c r="L48" s="78"/>
    </row>
    <row r="49" s="18" customFormat="1" customHeight="1" spans="5:12">
      <c r="E49" s="77"/>
      <c r="F49" s="77"/>
      <c r="G49" s="77"/>
      <c r="H49" s="77"/>
      <c r="J49" s="77"/>
      <c r="K49" s="77"/>
      <c r="L49" s="77"/>
    </row>
    <row r="50" s="18" customFormat="1" customHeight="1" spans="11:12">
      <c r="K50" s="77"/>
      <c r="L50" s="77"/>
    </row>
    <row r="51" s="18" customFormat="1" customHeight="1" spans="10:12">
      <c r="J51" s="77"/>
      <c r="K51" s="77"/>
      <c r="L51" s="78"/>
    </row>
    <row r="52" s="18" customFormat="1" customHeight="1" spans="10:12">
      <c r="J52" s="77"/>
      <c r="K52" s="77"/>
      <c r="L52" s="78"/>
    </row>
    <row r="53" s="18" customFormat="1" customHeight="1" spans="10:12">
      <c r="J53" s="77"/>
      <c r="K53" s="77"/>
      <c r="L53" s="78"/>
    </row>
    <row r="54" s="18" customFormat="1" customHeight="1" spans="10:12">
      <c r="J54" s="77"/>
      <c r="K54" s="77"/>
      <c r="L54" s="78"/>
    </row>
    <row r="55" s="18" customFormat="1" customHeight="1" spans="10:12">
      <c r="J55" s="77"/>
      <c r="K55" s="77"/>
      <c r="L55" s="78"/>
    </row>
    <row r="56" s="18" customFormat="1" customHeight="1" spans="10:12">
      <c r="J56" s="77"/>
      <c r="K56" s="77"/>
      <c r="L56" s="78"/>
    </row>
    <row r="57" s="18" customFormat="1" customHeight="1" spans="10:12">
      <c r="J57" s="77"/>
      <c r="K57" s="77"/>
      <c r="L57" s="78"/>
    </row>
    <row r="58" s="18" customFormat="1" customHeight="1" spans="10:12">
      <c r="J58" s="77"/>
      <c r="K58" s="77"/>
      <c r="L58" s="78"/>
    </row>
    <row r="59" s="18" customFormat="1" customHeight="1" spans="10:12">
      <c r="J59" s="77"/>
      <c r="K59" s="77"/>
      <c r="L59" s="78"/>
    </row>
  </sheetData>
  <mergeCells count="18">
    <mergeCell ref="A1:H1"/>
    <mergeCell ref="I1:L1"/>
    <mergeCell ref="C15:I15"/>
    <mergeCell ref="C18:I18"/>
    <mergeCell ref="C29:I29"/>
    <mergeCell ref="C32:I32"/>
    <mergeCell ref="C35:I35"/>
    <mergeCell ref="B44:J44"/>
    <mergeCell ref="B3:B15"/>
    <mergeCell ref="B16:B18"/>
    <mergeCell ref="B19:B29"/>
    <mergeCell ref="B30:B32"/>
    <mergeCell ref="B33:B35"/>
    <mergeCell ref="B36:B39"/>
    <mergeCell ref="B40:B43"/>
    <mergeCell ref="C30:C31"/>
    <mergeCell ref="I30:I31"/>
    <mergeCell ref="K30:K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45"/>
  <sheetViews>
    <sheetView workbookViewId="0">
      <selection activeCell="D31" sqref="D31"/>
    </sheetView>
  </sheetViews>
  <sheetFormatPr defaultColWidth="8.90833333333333" defaultRowHeight="15.75" customHeight="1" outlineLevelCol="5"/>
  <cols>
    <col min="2" max="2" width="16.0916666666667" style="65" customWidth="1"/>
    <col min="3" max="3" width="29.0916666666667" style="65" customWidth="1"/>
    <col min="4" max="4" width="12.6333333333333" style="65" customWidth="1"/>
  </cols>
  <sheetData>
    <row r="1" customHeight="1" spans="6:6">
      <c r="F1" s="65" t="s">
        <v>126</v>
      </c>
    </row>
    <row r="3" customHeight="1" spans="1:4">
      <c r="A3" s="66" t="s">
        <v>127</v>
      </c>
      <c r="B3" s="66" t="s">
        <v>128</v>
      </c>
      <c r="C3" s="66" t="s">
        <v>129</v>
      </c>
      <c r="D3" s="66" t="s">
        <v>130</v>
      </c>
    </row>
    <row r="4" customHeight="1" spans="1:4">
      <c r="A4" s="67">
        <v>1</v>
      </c>
      <c r="B4" s="67" t="s">
        <v>131</v>
      </c>
      <c r="C4" s="66" t="s">
        <v>132</v>
      </c>
      <c r="D4" s="67">
        <v>2</v>
      </c>
    </row>
    <row r="5" ht="31.5" customHeight="1" spans="1:4">
      <c r="A5" s="67">
        <v>2</v>
      </c>
      <c r="B5" s="67"/>
      <c r="C5" s="68" t="s">
        <v>133</v>
      </c>
      <c r="D5" s="67">
        <v>3</v>
      </c>
    </row>
    <row r="7" customHeight="1" spans="1:1">
      <c r="A7" s="65" t="s">
        <v>134</v>
      </c>
    </row>
    <row r="8" customHeight="1" spans="1:1">
      <c r="A8" s="65" t="s">
        <v>135</v>
      </c>
    </row>
    <row r="9" customHeight="1" spans="1:1">
      <c r="A9" s="69"/>
    </row>
    <row r="10" customHeight="1" spans="1:1">
      <c r="A10" s="65" t="s">
        <v>136</v>
      </c>
    </row>
    <row r="11" customHeight="1" spans="1:1">
      <c r="A11" s="70" t="s">
        <v>137</v>
      </c>
    </row>
    <row r="12" customHeight="1" spans="1:1">
      <c r="A12" s="70" t="s">
        <v>138</v>
      </c>
    </row>
    <row r="13" customHeight="1" spans="1:1">
      <c r="A13" s="70" t="s">
        <v>139</v>
      </c>
    </row>
    <row r="14" customHeight="1" spans="1:1">
      <c r="A14" s="70" t="s">
        <v>140</v>
      </c>
    </row>
    <row r="15" customHeight="1" spans="1:1">
      <c r="A15" s="71" t="s">
        <v>141</v>
      </c>
    </row>
    <row r="16" customHeight="1" spans="1:1">
      <c r="A16" s="71" t="s">
        <v>142</v>
      </c>
    </row>
    <row r="17" customHeight="1" spans="1:1">
      <c r="A17" s="71" t="s">
        <v>143</v>
      </c>
    </row>
    <row r="18" customHeight="1" spans="1:1">
      <c r="A18" s="71" t="s">
        <v>144</v>
      </c>
    </row>
    <row r="19" customHeight="1" spans="1:1">
      <c r="A19" s="71" t="s">
        <v>145</v>
      </c>
    </row>
    <row r="20" customHeight="1" spans="1:1">
      <c r="A20" s="71" t="s">
        <v>146</v>
      </c>
    </row>
    <row r="21" customHeight="1" spans="1:1">
      <c r="A21" s="71" t="s">
        <v>147</v>
      </c>
    </row>
    <row r="22" customHeight="1" spans="1:1">
      <c r="A22" s="71" t="s">
        <v>148</v>
      </c>
    </row>
    <row r="23" customHeight="1" spans="1:1">
      <c r="A23" s="71" t="s">
        <v>149</v>
      </c>
    </row>
    <row r="24" customHeight="1" spans="1:1">
      <c r="A24" s="71" t="s">
        <v>150</v>
      </c>
    </row>
    <row r="25" customHeight="1" spans="1:1">
      <c r="A25" s="71" t="s">
        <v>151</v>
      </c>
    </row>
    <row r="26" customHeight="1" spans="1:1">
      <c r="A26" s="70" t="s">
        <v>152</v>
      </c>
    </row>
    <row r="27" customHeight="1" spans="1:1">
      <c r="A27" s="71" t="s">
        <v>153</v>
      </c>
    </row>
    <row r="28" customHeight="1" spans="1:1">
      <c r="A28" s="71" t="s">
        <v>154</v>
      </c>
    </row>
    <row r="29" customHeight="1" spans="1:1">
      <c r="A29" s="71" t="s">
        <v>155</v>
      </c>
    </row>
    <row r="30" customHeight="1" spans="1:1">
      <c r="A30" s="71" t="s">
        <v>156</v>
      </c>
    </row>
    <row r="31" customHeight="1" spans="1:1">
      <c r="A31" s="71" t="s">
        <v>157</v>
      </c>
    </row>
    <row r="32" customHeight="1" spans="1:1">
      <c r="A32" s="70" t="s">
        <v>158</v>
      </c>
    </row>
    <row r="33" customHeight="1" spans="1:1">
      <c r="A33" s="71" t="s">
        <v>159</v>
      </c>
    </row>
    <row r="34" customHeight="1" spans="1:1">
      <c r="A34" s="71" t="s">
        <v>160</v>
      </c>
    </row>
    <row r="35" customHeight="1" spans="1:1">
      <c r="A35" s="71" t="s">
        <v>161</v>
      </c>
    </row>
    <row r="36" customHeight="1" spans="1:1">
      <c r="A36" s="70" t="s">
        <v>162</v>
      </c>
    </row>
    <row r="37" customHeight="1" spans="1:1">
      <c r="A37" s="70" t="s">
        <v>163</v>
      </c>
    </row>
    <row r="38" customHeight="1" spans="1:1">
      <c r="A38" s="70" t="s">
        <v>164</v>
      </c>
    </row>
    <row r="39" customHeight="1" spans="1:1">
      <c r="A39" s="70" t="s">
        <v>165</v>
      </c>
    </row>
    <row r="40" customHeight="1" spans="1:1">
      <c r="A40" s="70" t="s">
        <v>166</v>
      </c>
    </row>
    <row r="41" customHeight="1" spans="1:1">
      <c r="A41" s="70" t="s">
        <v>167</v>
      </c>
    </row>
    <row r="42" customHeight="1" spans="1:1">
      <c r="A42" s="72"/>
    </row>
    <row r="43" customHeight="1" spans="1:1">
      <c r="A43" s="73" t="s">
        <v>168</v>
      </c>
    </row>
    <row r="44" customHeight="1" spans="1:1">
      <c r="A44" s="70" t="s">
        <v>169</v>
      </c>
    </row>
    <row r="45" customHeight="1" spans="1:1">
      <c r="A45" s="70" t="s">
        <v>170</v>
      </c>
    </row>
  </sheetData>
  <mergeCells count="1">
    <mergeCell ref="B4:B5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BT22"/>
  <sheetViews>
    <sheetView tabSelected="1" zoomScale="70" zoomScaleNormal="70" topLeftCell="B1" workbookViewId="0">
      <pane ySplit="1" topLeftCell="A2" activePane="bottomLeft" state="frozen"/>
      <selection/>
      <selection pane="bottomLeft" activeCell="R11" sqref="R11"/>
    </sheetView>
  </sheetViews>
  <sheetFormatPr defaultColWidth="10.6333333333333" defaultRowHeight="30" customHeight="1"/>
  <cols>
    <col min="1" max="1" width="10.6333333333333" style="1"/>
    <col min="2" max="2" width="8.26666666666667" style="1" customWidth="1"/>
    <col min="3" max="3" width="28.8166666666667" style="1" customWidth="1"/>
    <col min="4" max="4" width="10.9083333333333" style="1" customWidth="1"/>
    <col min="5" max="52" width="2.45" style="1" customWidth="1"/>
    <col min="53" max="72" width="2.45" customWidth="1"/>
  </cols>
  <sheetData>
    <row r="1" customHeight="1" spans="3:72">
      <c r="C1" s="2" t="s">
        <v>171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customHeight="1" spans="2:72">
      <c r="B2" s="4" t="s">
        <v>172</v>
      </c>
      <c r="C2" s="4"/>
      <c r="D2" s="5" t="s">
        <v>173</v>
      </c>
      <c r="E2" s="6">
        <v>8</v>
      </c>
      <c r="F2" s="7"/>
      <c r="G2" s="7"/>
      <c r="H2" s="7"/>
      <c r="I2" s="6">
        <v>9</v>
      </c>
      <c r="J2" s="7"/>
      <c r="K2" s="7"/>
      <c r="L2" s="7"/>
      <c r="M2" s="6">
        <v>10</v>
      </c>
      <c r="N2" s="7"/>
      <c r="O2" s="7"/>
      <c r="P2" s="7"/>
      <c r="Q2" s="6">
        <v>11</v>
      </c>
      <c r="R2" s="7"/>
      <c r="S2" s="7"/>
      <c r="T2" s="7"/>
      <c r="U2" s="6">
        <v>12</v>
      </c>
      <c r="V2" s="7"/>
      <c r="W2" s="7"/>
      <c r="X2" s="7"/>
      <c r="Y2" s="7">
        <v>1</v>
      </c>
      <c r="Z2" s="7"/>
      <c r="AA2" s="7"/>
      <c r="AB2" s="7"/>
      <c r="AC2" s="7">
        <v>2</v>
      </c>
      <c r="AD2" s="7"/>
      <c r="AE2" s="7"/>
      <c r="AF2" s="7"/>
      <c r="AG2" s="7">
        <v>3</v>
      </c>
      <c r="AH2" s="7"/>
      <c r="AI2" s="7"/>
      <c r="AJ2" s="7"/>
      <c r="AK2" s="7">
        <v>4</v>
      </c>
      <c r="AL2" s="7"/>
      <c r="AM2" s="7"/>
      <c r="AN2" s="7"/>
      <c r="AO2" s="7">
        <v>5</v>
      </c>
      <c r="AP2" s="7"/>
      <c r="AQ2" s="7"/>
      <c r="AR2" s="7"/>
      <c r="AS2" s="7">
        <v>6</v>
      </c>
      <c r="AT2" s="7"/>
      <c r="AU2" s="7"/>
      <c r="AV2" s="7"/>
      <c r="AW2" s="7">
        <v>7</v>
      </c>
      <c r="AX2" s="7"/>
      <c r="AY2" s="7"/>
      <c r="AZ2" s="7"/>
      <c r="BA2" s="7">
        <v>8</v>
      </c>
      <c r="BB2" s="7"/>
      <c r="BC2" s="7"/>
      <c r="BD2" s="7"/>
      <c r="BE2" s="7">
        <v>9</v>
      </c>
      <c r="BF2" s="7"/>
      <c r="BG2" s="7"/>
      <c r="BH2" s="7"/>
      <c r="BI2" s="7">
        <v>10</v>
      </c>
      <c r="BJ2" s="7"/>
      <c r="BK2" s="7"/>
      <c r="BL2" s="7"/>
      <c r="BM2" s="7">
        <v>11</v>
      </c>
      <c r="BN2" s="7"/>
      <c r="BO2" s="7"/>
      <c r="BP2" s="7"/>
      <c r="BQ2" s="7">
        <v>12</v>
      </c>
      <c r="BR2" s="7"/>
      <c r="BS2" s="7"/>
      <c r="BT2" s="7"/>
    </row>
    <row r="3" customHeight="1" spans="2:72">
      <c r="B3" s="4" t="s">
        <v>174</v>
      </c>
      <c r="C3" s="4"/>
      <c r="D3" s="5" t="s">
        <v>175</v>
      </c>
      <c r="E3" s="6">
        <v>1</v>
      </c>
      <c r="F3" s="7">
        <v>2</v>
      </c>
      <c r="G3" s="7">
        <v>3</v>
      </c>
      <c r="H3" s="7">
        <v>4</v>
      </c>
      <c r="I3" s="7">
        <v>1</v>
      </c>
      <c r="J3" s="7">
        <v>2</v>
      </c>
      <c r="K3" s="7">
        <v>3</v>
      </c>
      <c r="L3" s="7">
        <v>4</v>
      </c>
      <c r="M3" s="6">
        <v>1</v>
      </c>
      <c r="N3" s="7">
        <v>2</v>
      </c>
      <c r="O3" s="7">
        <v>3</v>
      </c>
      <c r="P3" s="7">
        <v>4</v>
      </c>
      <c r="Q3" s="7">
        <v>1</v>
      </c>
      <c r="R3" s="7">
        <v>2</v>
      </c>
      <c r="S3" s="7">
        <v>3</v>
      </c>
      <c r="T3" s="7">
        <v>4</v>
      </c>
      <c r="U3" s="6">
        <v>1</v>
      </c>
      <c r="V3" s="7">
        <v>2</v>
      </c>
      <c r="W3" s="7">
        <v>3</v>
      </c>
      <c r="X3" s="7">
        <v>4</v>
      </c>
      <c r="Y3" s="7">
        <v>1</v>
      </c>
      <c r="Z3" s="7">
        <v>2</v>
      </c>
      <c r="AA3" s="7">
        <v>3</v>
      </c>
      <c r="AB3" s="7">
        <v>4</v>
      </c>
      <c r="AC3" s="6">
        <v>1</v>
      </c>
      <c r="AD3" s="7">
        <v>2</v>
      </c>
      <c r="AE3" s="7">
        <v>3</v>
      </c>
      <c r="AF3" s="7">
        <v>4</v>
      </c>
      <c r="AG3" s="7">
        <v>1</v>
      </c>
      <c r="AH3" s="7">
        <v>2</v>
      </c>
      <c r="AI3" s="7">
        <v>3</v>
      </c>
      <c r="AJ3" s="7">
        <v>4</v>
      </c>
      <c r="AK3" s="6">
        <v>1</v>
      </c>
      <c r="AL3" s="7">
        <v>2</v>
      </c>
      <c r="AM3" s="7">
        <v>3</v>
      </c>
      <c r="AN3" s="7">
        <v>4</v>
      </c>
      <c r="AO3" s="7">
        <v>1</v>
      </c>
      <c r="AP3" s="7">
        <v>2</v>
      </c>
      <c r="AQ3" s="7">
        <v>3</v>
      </c>
      <c r="AR3" s="7">
        <v>4</v>
      </c>
      <c r="AS3" s="6">
        <v>1</v>
      </c>
      <c r="AT3" s="7">
        <v>2</v>
      </c>
      <c r="AU3" s="7">
        <v>3</v>
      </c>
      <c r="AV3" s="7">
        <v>4</v>
      </c>
      <c r="AW3" s="7">
        <v>1</v>
      </c>
      <c r="AX3" s="7">
        <v>2</v>
      </c>
      <c r="AY3" s="7">
        <v>3</v>
      </c>
      <c r="AZ3" s="7">
        <v>4</v>
      </c>
      <c r="BA3" s="6">
        <v>1</v>
      </c>
      <c r="BB3" s="7">
        <v>2</v>
      </c>
      <c r="BC3" s="7">
        <v>3</v>
      </c>
      <c r="BD3" s="7">
        <v>4</v>
      </c>
      <c r="BE3" s="7">
        <v>1</v>
      </c>
      <c r="BF3" s="7">
        <v>2</v>
      </c>
      <c r="BG3" s="7">
        <v>3</v>
      </c>
      <c r="BH3" s="7">
        <v>4</v>
      </c>
      <c r="BI3" s="6">
        <v>1</v>
      </c>
      <c r="BJ3" s="7">
        <v>2</v>
      </c>
      <c r="BK3" s="7">
        <v>3</v>
      </c>
      <c r="BL3" s="7">
        <v>4</v>
      </c>
      <c r="BM3" s="7">
        <v>1</v>
      </c>
      <c r="BN3" s="7">
        <v>2</v>
      </c>
      <c r="BO3" s="7">
        <v>3</v>
      </c>
      <c r="BP3" s="7">
        <v>4</v>
      </c>
      <c r="BQ3" s="62">
        <v>45</v>
      </c>
      <c r="BR3" s="62">
        <v>46</v>
      </c>
      <c r="BS3" s="62">
        <v>47</v>
      </c>
      <c r="BT3" s="62">
        <v>48</v>
      </c>
    </row>
    <row r="4" customHeight="1" spans="2:72">
      <c r="B4" s="8"/>
      <c r="C4" s="9" t="s">
        <v>176</v>
      </c>
      <c r="D4" s="10" t="s">
        <v>177</v>
      </c>
      <c r="E4" s="11"/>
      <c r="F4" s="12"/>
      <c r="G4" s="12"/>
      <c r="H4" s="12"/>
      <c r="I4" s="12"/>
      <c r="J4" s="12"/>
      <c r="K4" s="12"/>
      <c r="L4" s="29"/>
      <c r="M4" s="29"/>
      <c r="N4" s="29"/>
      <c r="O4" s="12"/>
      <c r="P4" s="12"/>
      <c r="Q4" s="25"/>
      <c r="R4" s="25"/>
      <c r="S4" s="25"/>
      <c r="T4" s="25"/>
      <c r="U4" s="25"/>
      <c r="V4" s="25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33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59"/>
      <c r="BB4" s="59"/>
      <c r="BC4" s="59"/>
      <c r="BD4" s="59"/>
      <c r="BE4" s="60"/>
      <c r="BF4" s="60"/>
      <c r="BG4" s="60"/>
      <c r="BH4" s="60"/>
      <c r="BI4" s="60"/>
      <c r="BJ4" s="60"/>
      <c r="BK4" s="60"/>
      <c r="BL4" s="60"/>
      <c r="BM4" s="60"/>
      <c r="BN4" s="60"/>
      <c r="BO4" s="60"/>
      <c r="BP4" s="60"/>
      <c r="BQ4" s="60"/>
      <c r="BR4" s="60"/>
      <c r="BS4" s="60"/>
      <c r="BT4" s="60"/>
    </row>
    <row r="5" customHeight="1" spans="2:72">
      <c r="B5" s="8"/>
      <c r="C5" s="9" t="s">
        <v>178</v>
      </c>
      <c r="D5" s="9" t="s">
        <v>177</v>
      </c>
      <c r="E5" s="13"/>
      <c r="F5" s="14"/>
      <c r="G5" s="12"/>
      <c r="H5" s="12"/>
      <c r="I5" s="12"/>
      <c r="J5" s="12"/>
      <c r="K5" s="12"/>
      <c r="L5" s="12"/>
      <c r="M5" s="12"/>
      <c r="N5" s="12"/>
      <c r="O5" s="30"/>
      <c r="P5" s="31"/>
      <c r="Q5" s="30"/>
      <c r="R5" s="30"/>
      <c r="S5" s="12"/>
      <c r="T5" s="12"/>
      <c r="U5" s="11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33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59"/>
      <c r="BB5" s="59"/>
      <c r="BC5" s="59"/>
      <c r="BD5" s="59"/>
      <c r="BE5" s="60"/>
      <c r="BF5" s="60"/>
      <c r="BG5" s="60"/>
      <c r="BH5" s="60"/>
      <c r="BI5" s="60"/>
      <c r="BJ5" s="60"/>
      <c r="BK5" s="60"/>
      <c r="BL5" s="60"/>
      <c r="BM5" s="60"/>
      <c r="BN5" s="60"/>
      <c r="BO5" s="60"/>
      <c r="BP5" s="60"/>
      <c r="BQ5" s="60"/>
      <c r="BR5" s="60"/>
      <c r="BS5" s="60"/>
      <c r="BT5" s="60"/>
    </row>
    <row r="6" customHeight="1" spans="2:72">
      <c r="B6" s="15"/>
      <c r="C6" s="9" t="s">
        <v>179</v>
      </c>
      <c r="D6" s="10" t="s">
        <v>180</v>
      </c>
      <c r="E6" s="13"/>
      <c r="F6" s="14"/>
      <c r="G6" s="12"/>
      <c r="H6" s="12"/>
      <c r="I6" s="12"/>
      <c r="J6" s="12"/>
      <c r="K6" s="12"/>
      <c r="L6" s="12"/>
      <c r="M6" s="12"/>
      <c r="P6" s="32"/>
      <c r="Q6" s="32"/>
      <c r="R6" s="39"/>
      <c r="S6" s="25"/>
      <c r="T6" s="25"/>
      <c r="U6" s="40"/>
      <c r="V6" s="25"/>
      <c r="W6" s="25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33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59"/>
      <c r="BB6" s="59"/>
      <c r="BC6" s="59"/>
      <c r="BD6" s="59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</row>
    <row r="7" ht="27" customHeight="1" spans="2:72">
      <c r="B7" s="16" t="s">
        <v>181</v>
      </c>
      <c r="C7" s="9" t="s">
        <v>182</v>
      </c>
      <c r="D7" s="9" t="s">
        <v>183</v>
      </c>
      <c r="E7" s="13"/>
      <c r="F7" s="14"/>
      <c r="G7" s="12"/>
      <c r="H7" s="12"/>
      <c r="I7" s="12"/>
      <c r="J7" s="12"/>
      <c r="K7" s="12"/>
      <c r="L7" s="12"/>
      <c r="M7" s="33"/>
      <c r="N7" s="34"/>
      <c r="O7" s="10"/>
      <c r="P7" s="10"/>
      <c r="Q7" s="10"/>
      <c r="R7" s="38"/>
      <c r="S7" s="38"/>
      <c r="T7" s="38"/>
      <c r="U7" s="38"/>
      <c r="V7" s="38"/>
      <c r="W7" s="38"/>
      <c r="X7" s="41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33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59"/>
      <c r="BE7" s="59"/>
      <c r="BF7" s="59"/>
      <c r="BG7" s="59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</row>
    <row r="8" customHeight="1" spans="2:72">
      <c r="B8" s="17"/>
      <c r="C8" s="9" t="s">
        <v>184</v>
      </c>
      <c r="D8" s="9" t="s">
        <v>183</v>
      </c>
      <c r="E8" s="13"/>
      <c r="F8" s="14"/>
      <c r="G8" s="12"/>
      <c r="H8" s="12"/>
      <c r="I8" s="12"/>
      <c r="J8" s="12"/>
      <c r="K8" s="12"/>
      <c r="L8" s="12"/>
      <c r="M8" s="33"/>
      <c r="N8" s="34"/>
      <c r="O8" s="10"/>
      <c r="P8" s="10"/>
      <c r="Q8" s="10"/>
      <c r="R8" s="34"/>
      <c r="S8" s="42"/>
      <c r="T8" s="42"/>
      <c r="U8" s="42"/>
      <c r="V8" s="42"/>
      <c r="W8" s="42"/>
      <c r="X8" s="43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12"/>
      <c r="AL8" s="12"/>
      <c r="AM8" s="12"/>
      <c r="AN8" s="12"/>
      <c r="AO8" s="12"/>
      <c r="AP8" s="33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59"/>
      <c r="BE8" s="59"/>
      <c r="BF8" s="59"/>
      <c r="BG8" s="59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</row>
    <row r="9" ht="30.6" customHeight="1" spans="2:72">
      <c r="B9" s="17"/>
      <c r="C9" s="9" t="s">
        <v>185</v>
      </c>
      <c r="D9" s="9" t="s">
        <v>183</v>
      </c>
      <c r="E9" s="13"/>
      <c r="F9" s="14"/>
      <c r="G9" s="12"/>
      <c r="H9" s="12"/>
      <c r="I9" s="12"/>
      <c r="J9" s="12"/>
      <c r="K9" s="12"/>
      <c r="L9" s="12"/>
      <c r="M9" s="33"/>
      <c r="N9" s="34"/>
      <c r="O9" s="10"/>
      <c r="P9" s="10"/>
      <c r="Q9" s="10"/>
      <c r="R9" s="34"/>
      <c r="S9" s="34"/>
      <c r="T9" s="34"/>
      <c r="U9" s="34"/>
      <c r="V9" s="34"/>
      <c r="W9" s="34"/>
      <c r="X9" s="11"/>
      <c r="Y9" s="12"/>
      <c r="Z9" s="12"/>
      <c r="AA9" s="12"/>
      <c r="AB9" s="12"/>
      <c r="AC9" s="12"/>
      <c r="AD9" s="12"/>
      <c r="AE9" s="12"/>
      <c r="AF9" s="12"/>
      <c r="AG9" s="12"/>
      <c r="AH9" s="25"/>
      <c r="AI9" s="52"/>
      <c r="AJ9" s="52"/>
      <c r="AK9" s="52"/>
      <c r="AL9" s="52"/>
      <c r="AM9" s="52"/>
      <c r="AN9" s="12"/>
      <c r="AO9" s="12"/>
      <c r="AP9" s="33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59"/>
      <c r="BE9" s="59"/>
      <c r="BF9" s="59"/>
      <c r="BG9" s="59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</row>
    <row r="10" customHeight="1" spans="2:72">
      <c r="B10" s="17"/>
      <c r="C10" s="9" t="s">
        <v>186</v>
      </c>
      <c r="D10" s="9" t="s">
        <v>183</v>
      </c>
      <c r="E10" s="13"/>
      <c r="F10" s="14"/>
      <c r="G10" s="12"/>
      <c r="H10" s="12"/>
      <c r="I10" s="12"/>
      <c r="J10" s="12"/>
      <c r="K10" s="12"/>
      <c r="L10" s="12"/>
      <c r="M10" s="33"/>
      <c r="N10" s="34"/>
      <c r="O10" s="10"/>
      <c r="P10" s="10"/>
      <c r="Q10" s="10"/>
      <c r="R10" s="34"/>
      <c r="S10" s="34"/>
      <c r="T10" s="34"/>
      <c r="U10" s="34"/>
      <c r="V10" s="34"/>
      <c r="W10" s="34"/>
      <c r="X10" s="11"/>
      <c r="Y10" s="12"/>
      <c r="Z10" s="12"/>
      <c r="AA10" s="12"/>
      <c r="AB10" s="12"/>
      <c r="AC10" s="12"/>
      <c r="AD10" s="12"/>
      <c r="AE10" s="12"/>
      <c r="AF10" s="12"/>
      <c r="AG10" s="33"/>
      <c r="AH10" s="34"/>
      <c r="AI10" s="34"/>
      <c r="AJ10" s="34"/>
      <c r="AK10" s="34"/>
      <c r="AL10" s="34"/>
      <c r="AM10" s="42"/>
      <c r="AN10" s="43"/>
      <c r="AO10" s="51"/>
      <c r="AP10" s="55"/>
      <c r="AQ10" s="42"/>
      <c r="AR10" s="42"/>
      <c r="AS10" s="42"/>
      <c r="AT10" s="42"/>
      <c r="AU10" s="34"/>
      <c r="AV10" s="34"/>
      <c r="AW10" s="34"/>
      <c r="AX10" s="34"/>
      <c r="AY10" s="34"/>
      <c r="AZ10" s="34"/>
      <c r="BA10" s="34"/>
      <c r="BB10" s="34"/>
      <c r="BC10" s="34"/>
      <c r="BD10" s="59"/>
      <c r="BE10" s="59"/>
      <c r="BF10" s="59"/>
      <c r="BG10" s="59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</row>
    <row r="11" customHeight="1" spans="2:72">
      <c r="B11" s="17"/>
      <c r="C11" s="18" t="s">
        <v>187</v>
      </c>
      <c r="D11" s="9" t="s">
        <v>183</v>
      </c>
      <c r="E11" s="19"/>
      <c r="F11" s="20"/>
      <c r="G11" s="12"/>
      <c r="H11" s="12"/>
      <c r="I11" s="12"/>
      <c r="J11" s="12"/>
      <c r="K11" s="12"/>
      <c r="L11" s="12"/>
      <c r="M11" s="33"/>
      <c r="N11" s="34"/>
      <c r="O11" s="10"/>
      <c r="P11" s="10"/>
      <c r="Q11" s="10"/>
      <c r="R11" s="34"/>
      <c r="S11" s="34"/>
      <c r="T11" s="34"/>
      <c r="U11" s="34"/>
      <c r="V11" s="34"/>
      <c r="W11" s="34"/>
      <c r="X11" s="11"/>
      <c r="Y11" s="12"/>
      <c r="Z11" s="12"/>
      <c r="AA11" s="12"/>
      <c r="AB11" s="12"/>
      <c r="AC11" s="12"/>
      <c r="AD11" s="12"/>
      <c r="AE11" s="12"/>
      <c r="AF11" s="12"/>
      <c r="AG11" s="12"/>
      <c r="AH11" s="35"/>
      <c r="AI11" s="35"/>
      <c r="AJ11" s="35"/>
      <c r="AK11" s="35"/>
      <c r="AL11" s="35"/>
      <c r="AM11" s="35"/>
      <c r="AN11" s="12"/>
      <c r="AO11" s="12"/>
      <c r="AP11" s="33"/>
      <c r="AQ11" s="34"/>
      <c r="AR11" s="34"/>
      <c r="AS11" s="33"/>
      <c r="AT11" s="56"/>
      <c r="AU11" s="56"/>
      <c r="AW11" s="34"/>
      <c r="AX11" s="34"/>
      <c r="AY11" s="34"/>
      <c r="AZ11" s="34"/>
      <c r="BA11" s="34"/>
      <c r="BB11" s="34"/>
      <c r="BC11" s="34"/>
      <c r="BD11" s="59"/>
      <c r="BE11" s="59"/>
      <c r="BF11" s="59"/>
      <c r="BG11" s="59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</row>
    <row r="12" customHeight="1" spans="2:72">
      <c r="B12" s="21"/>
      <c r="C12" s="1" t="s">
        <v>188</v>
      </c>
      <c r="D12" s="9" t="s">
        <v>183</v>
      </c>
      <c r="E12" s="13"/>
      <c r="F12" s="14"/>
      <c r="G12" s="11"/>
      <c r="H12" s="12"/>
      <c r="I12" s="12"/>
      <c r="J12" s="12"/>
      <c r="K12" s="12"/>
      <c r="L12" s="12"/>
      <c r="M12" s="33"/>
      <c r="N12" s="34"/>
      <c r="O12" s="10"/>
      <c r="P12" s="10"/>
      <c r="Q12" s="10"/>
      <c r="R12" s="34"/>
      <c r="S12" s="34"/>
      <c r="T12" s="34"/>
      <c r="U12" s="34"/>
      <c r="V12" s="34"/>
      <c r="W12" s="34"/>
      <c r="X12" s="11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33"/>
      <c r="AQ12" s="34"/>
      <c r="AR12" s="34"/>
      <c r="AS12" s="34"/>
      <c r="AT12" s="34"/>
      <c r="AU12" s="34"/>
      <c r="AV12" s="57">
        <v>1</v>
      </c>
      <c r="AW12" s="57">
        <v>2</v>
      </c>
      <c r="AX12" s="57">
        <v>3</v>
      </c>
      <c r="AY12" s="57">
        <v>4</v>
      </c>
      <c r="AZ12" s="57">
        <v>5</v>
      </c>
      <c r="BA12" s="57">
        <v>6</v>
      </c>
      <c r="BB12" s="57">
        <v>7</v>
      </c>
      <c r="BC12" s="57">
        <v>8</v>
      </c>
      <c r="BD12" s="57">
        <v>9</v>
      </c>
      <c r="BE12" s="57">
        <v>10</v>
      </c>
      <c r="BF12" s="57">
        <v>11</v>
      </c>
      <c r="BG12" s="57">
        <v>12</v>
      </c>
      <c r="BH12" s="60"/>
      <c r="BI12" s="60"/>
      <c r="BJ12" s="60"/>
      <c r="BK12" s="60"/>
      <c r="BL12" s="60"/>
      <c r="BM12" s="60"/>
      <c r="BN12" s="60"/>
      <c r="BO12" s="60"/>
      <c r="BP12" s="60"/>
      <c r="BQ12" s="60"/>
      <c r="BR12" s="60"/>
      <c r="BS12" s="60"/>
      <c r="BT12" s="60"/>
    </row>
    <row r="13" customHeight="1" spans="2:72">
      <c r="B13" s="22" t="s">
        <v>189</v>
      </c>
      <c r="C13" s="10" t="s">
        <v>190</v>
      </c>
      <c r="D13" s="10" t="s">
        <v>191</v>
      </c>
      <c r="E13" s="13"/>
      <c r="F13" s="14"/>
      <c r="G13" s="12"/>
      <c r="H13" s="12"/>
      <c r="I13" s="12"/>
      <c r="J13" s="12"/>
      <c r="K13" s="12"/>
      <c r="L13" s="12"/>
      <c r="M13" s="12"/>
      <c r="N13" s="35"/>
      <c r="O13" s="35"/>
      <c r="P13" s="36"/>
      <c r="Q13" s="36"/>
      <c r="R13" s="44"/>
      <c r="S13" s="35"/>
      <c r="T13" s="35"/>
      <c r="U13" s="35"/>
      <c r="V13" s="45"/>
      <c r="W13" s="35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33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59"/>
      <c r="BB13" s="59"/>
      <c r="BC13" s="59"/>
      <c r="BD13" s="59"/>
      <c r="BE13" s="60"/>
      <c r="BF13" s="60"/>
      <c r="BG13" s="60"/>
      <c r="BH13" s="60"/>
      <c r="BI13" s="60"/>
      <c r="BJ13" s="60"/>
      <c r="BK13" s="60"/>
      <c r="BL13" s="60"/>
      <c r="BM13" s="60"/>
      <c r="BN13" s="60"/>
      <c r="BO13" s="60"/>
      <c r="BP13" s="60"/>
      <c r="BQ13" s="60"/>
      <c r="BR13" s="60"/>
      <c r="BS13" s="60"/>
      <c r="BT13" s="60"/>
    </row>
    <row r="14" customHeight="1" spans="2:72">
      <c r="B14" s="8"/>
      <c r="C14" s="9" t="s">
        <v>192</v>
      </c>
      <c r="D14" s="10" t="s">
        <v>191</v>
      </c>
      <c r="E14" s="23"/>
      <c r="F14" s="24"/>
      <c r="G14" s="25"/>
      <c r="H14" s="25"/>
      <c r="I14" s="25"/>
      <c r="J14" s="25"/>
      <c r="K14" s="25"/>
      <c r="L14" s="25"/>
      <c r="M14" s="25"/>
      <c r="N14" s="25"/>
      <c r="O14" s="25"/>
      <c r="P14" s="37"/>
      <c r="Q14" s="37"/>
      <c r="R14" s="46"/>
      <c r="S14" s="46"/>
      <c r="T14" s="46"/>
      <c r="U14" s="46"/>
      <c r="V14" s="47"/>
      <c r="W14" s="46"/>
      <c r="X14" s="46"/>
      <c r="Y14" s="46"/>
      <c r="Z14" s="46"/>
      <c r="AA14" s="46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53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</row>
    <row r="15" customHeight="1" spans="2:72">
      <c r="B15" s="8"/>
      <c r="C15" s="26" t="s">
        <v>176</v>
      </c>
      <c r="D15" s="10" t="s">
        <v>191</v>
      </c>
      <c r="E15" s="10"/>
      <c r="F15" s="10"/>
      <c r="G15" s="10"/>
      <c r="H15" s="10"/>
      <c r="I15" s="10"/>
      <c r="J15" s="10"/>
      <c r="K15" s="10"/>
      <c r="L15" s="10"/>
      <c r="M15" s="38"/>
      <c r="N15" s="10"/>
      <c r="O15" s="10"/>
      <c r="P15" s="10"/>
      <c r="Q15" s="10"/>
      <c r="R15" s="10"/>
      <c r="S15" s="38"/>
      <c r="T15" s="38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60"/>
      <c r="BB15" s="60"/>
      <c r="BC15" s="60"/>
      <c r="BD15" s="60"/>
      <c r="BE15" s="60"/>
      <c r="BF15" s="60"/>
      <c r="BG15" s="60"/>
      <c r="BH15" s="60"/>
      <c r="BI15" s="60"/>
      <c r="BJ15" s="60"/>
      <c r="BK15" s="60"/>
      <c r="BL15" s="60"/>
      <c r="BM15" s="60"/>
      <c r="BN15" s="60"/>
      <c r="BO15" s="60"/>
      <c r="BP15" s="60"/>
      <c r="BQ15" s="60"/>
      <c r="BR15" s="60"/>
      <c r="BS15" s="60"/>
      <c r="BT15" s="60"/>
    </row>
    <row r="16" customHeight="1" spans="2:72">
      <c r="B16" s="8"/>
      <c r="C16" s="9" t="s">
        <v>193</v>
      </c>
      <c r="D16" s="10" t="s">
        <v>191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42"/>
      <c r="U16" s="42"/>
      <c r="V16" s="42"/>
      <c r="W16" s="42"/>
      <c r="X16" s="48"/>
      <c r="Y16" s="48"/>
      <c r="Z16" s="48"/>
      <c r="AA16" s="48"/>
      <c r="AB16" s="48"/>
      <c r="AC16" s="48"/>
      <c r="AD16" s="48"/>
      <c r="AE16" s="48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60"/>
      <c r="BB16" s="60"/>
      <c r="BC16" s="60"/>
      <c r="BD16" s="60"/>
      <c r="BE16" s="60"/>
      <c r="BF16" s="60"/>
      <c r="BG16" s="60"/>
      <c r="BH16" s="60"/>
      <c r="BI16" s="60"/>
      <c r="BJ16" s="60"/>
      <c r="BK16" s="60"/>
      <c r="BL16" s="60"/>
      <c r="BM16" s="60"/>
      <c r="BN16" s="60"/>
      <c r="BO16" s="60"/>
      <c r="BP16" s="60"/>
      <c r="BQ16" s="60"/>
      <c r="BR16" s="60"/>
      <c r="BS16" s="60"/>
      <c r="BT16" s="60"/>
    </row>
    <row r="17" customHeight="1" spans="2:72">
      <c r="B17" s="8"/>
      <c r="C17" s="27" t="s">
        <v>194</v>
      </c>
      <c r="D17" s="28" t="s">
        <v>191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49"/>
      <c r="R17" s="50"/>
      <c r="S17" s="50"/>
      <c r="T17" s="50"/>
      <c r="U17" s="50"/>
      <c r="V17" s="50"/>
      <c r="W17" s="50"/>
      <c r="X17" s="49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</row>
    <row r="18" customHeight="1" spans="2:72">
      <c r="B18" s="16" t="s">
        <v>195</v>
      </c>
      <c r="C18" s="9" t="s">
        <v>196</v>
      </c>
      <c r="D18" s="10" t="s">
        <v>197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38"/>
      <c r="AK18" s="38"/>
      <c r="AL18" s="38"/>
      <c r="AM18" s="38"/>
      <c r="AN18" s="38"/>
      <c r="AO18" s="38"/>
      <c r="AP18" s="38"/>
      <c r="AQ18" s="38"/>
      <c r="AR18" s="10"/>
      <c r="AS18" s="10"/>
      <c r="AT18" s="10"/>
      <c r="AU18" s="10"/>
      <c r="AV18" s="10"/>
      <c r="AW18" s="10"/>
      <c r="AX18" s="10"/>
      <c r="AY18" s="10"/>
      <c r="AZ18" s="10"/>
      <c r="BA18" s="60"/>
      <c r="BB18" s="60"/>
      <c r="BC18" s="60"/>
      <c r="BD18" s="60"/>
      <c r="BE18" s="60"/>
      <c r="BF18" s="60"/>
      <c r="BG18" s="60"/>
      <c r="BH18" s="60"/>
      <c r="BI18" s="60"/>
      <c r="BJ18" s="60"/>
      <c r="BK18" s="60"/>
      <c r="BL18" s="60"/>
      <c r="BM18" s="60"/>
      <c r="BN18" s="60"/>
      <c r="BO18" s="60"/>
      <c r="BP18" s="60"/>
      <c r="BQ18" s="60"/>
      <c r="BR18" s="60"/>
      <c r="BS18" s="60"/>
      <c r="BT18" s="60"/>
    </row>
    <row r="19" customHeight="1" spans="2:72">
      <c r="B19" s="17"/>
      <c r="C19" s="10" t="s">
        <v>198</v>
      </c>
      <c r="D19" s="10" t="s">
        <v>199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60"/>
      <c r="BB19" s="60"/>
      <c r="BC19" s="60"/>
      <c r="BD19" s="60"/>
      <c r="BE19" s="60"/>
      <c r="BF19" s="60"/>
      <c r="BG19" s="60"/>
      <c r="BH19" s="58"/>
      <c r="BI19" s="58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0"/>
    </row>
    <row r="20" customHeight="1" spans="2:72">
      <c r="B20" s="17"/>
      <c r="C20" s="26" t="s">
        <v>200</v>
      </c>
      <c r="D20" s="10" t="s">
        <v>199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58"/>
      <c r="AS20" s="58"/>
      <c r="AT20" s="10"/>
      <c r="AU20" s="10"/>
      <c r="AV20" s="10"/>
      <c r="AW20" s="10"/>
      <c r="AX20" s="10"/>
      <c r="AY20" s="10"/>
      <c r="AZ20" s="10"/>
      <c r="BA20" s="60"/>
      <c r="BB20" s="60"/>
      <c r="BC20" s="60"/>
      <c r="BD20" s="60"/>
      <c r="BE20" s="60"/>
      <c r="BF20" s="60"/>
      <c r="BG20" s="60"/>
      <c r="BH20" s="10"/>
      <c r="BI20" s="10"/>
      <c r="BJ20" s="58"/>
      <c r="BK20" s="58"/>
      <c r="BL20" s="58"/>
      <c r="BM20" s="58"/>
      <c r="BN20" s="58"/>
      <c r="BO20" s="58"/>
      <c r="BP20" s="60"/>
      <c r="BQ20" s="60"/>
      <c r="BR20" s="60"/>
      <c r="BS20" s="60"/>
      <c r="BT20" s="60"/>
    </row>
    <row r="21" customHeight="1" spans="2:72">
      <c r="B21" s="17"/>
      <c r="C21" s="26" t="s">
        <v>201</v>
      </c>
      <c r="D21" s="10" t="s">
        <v>191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60"/>
      <c r="BB21" s="60"/>
      <c r="BC21" s="60"/>
      <c r="BD21" s="60"/>
      <c r="BE21" s="60"/>
      <c r="BF21" s="60"/>
      <c r="BG21" s="60"/>
      <c r="BH21" s="60"/>
      <c r="BI21" s="10"/>
      <c r="BJ21" s="60"/>
      <c r="BK21" s="10"/>
      <c r="BL21" s="60"/>
      <c r="BM21" s="60"/>
      <c r="BN21" s="60"/>
      <c r="BO21" s="60"/>
      <c r="BP21" s="63"/>
      <c r="BQ21" s="63"/>
      <c r="BR21" s="63"/>
      <c r="BS21" s="60"/>
      <c r="BT21" s="60"/>
    </row>
    <row r="22" customHeight="1" spans="2:72">
      <c r="B22" s="17"/>
      <c r="C22" s="26" t="s">
        <v>202</v>
      </c>
      <c r="D22" s="10" t="s">
        <v>191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60"/>
      <c r="BB22" s="60"/>
      <c r="BC22" s="60"/>
      <c r="BD22" s="60"/>
      <c r="BE22" s="60"/>
      <c r="BF22" s="60"/>
      <c r="BG22" s="60"/>
      <c r="BH22" s="60"/>
      <c r="BI22" s="10"/>
      <c r="BJ22" s="60"/>
      <c r="BK22" s="10"/>
      <c r="BL22" s="60"/>
      <c r="BM22" s="60"/>
      <c r="BN22" s="60"/>
      <c r="BO22" s="60"/>
      <c r="BP22" s="60"/>
      <c r="BQ22" s="60"/>
      <c r="BR22" s="60"/>
      <c r="BS22" s="64"/>
      <c r="BT22" s="64"/>
    </row>
  </sheetData>
  <mergeCells count="24">
    <mergeCell ref="C1:BT1"/>
    <mergeCell ref="B2:C2"/>
    <mergeCell ref="E2:H2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AS2:AV2"/>
    <mergeCell ref="AW2:AZ2"/>
    <mergeCell ref="BA2:BD2"/>
    <mergeCell ref="BE2:BH2"/>
    <mergeCell ref="BI2:BL2"/>
    <mergeCell ref="BM2:BP2"/>
    <mergeCell ref="BQ2:BT2"/>
    <mergeCell ref="B3:C3"/>
    <mergeCell ref="B4:B6"/>
    <mergeCell ref="B7:B12"/>
    <mergeCell ref="B13:B17"/>
    <mergeCell ref="B18:B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设备投资概算评估 (集团内部-Sandwich)</vt:lpstr>
      <vt:lpstr>反馈认证费用</vt:lpstr>
      <vt:lpstr>周期时间 (集团内部-Sandwich)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李涛</cp:lastModifiedBy>
  <dcterms:created xsi:type="dcterms:W3CDTF">2006-09-16T00:00:00Z</dcterms:created>
  <dcterms:modified xsi:type="dcterms:W3CDTF">2025-09-19T03:20:44Z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38331B43466B4E07849D04D145319020_13</vt:lpwstr>
  </property>
  <property fmtid="{D5CDD505-2E9C-101B-9397-08002B2CF9AE}" pid="3" name="KSOProductBuildVer">
    <vt:lpwstr>1033-12.2.0.22549</vt:lpwstr>
  </property>
</Properties>
</file>